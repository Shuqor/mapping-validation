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michelle_abraham_e2open_com/Documents/Documents/Maps/Standard IG/Standard SCPM/MTIMShipmentLot/"/>
    </mc:Choice>
  </mc:AlternateContent>
  <xr:revisionPtr revIDLastSave="3" documentId="106_{E6A81FF0-DABE-4ED9-AA40-767E4E4B5066}" xr6:coauthVersionLast="47" xr6:coauthVersionMax="47" xr10:uidLastSave="{0FF66FCE-F5AC-46E8-89A7-E6C29F0511CD}"/>
  <bookViews>
    <workbookView xWindow="-120" yWindow="-120" windowWidth="27930" windowHeight="16440" firstSheet="3" activeTab="3" xr2:uid="{909D2B97-41F5-4C4B-B5E9-E8DAC9CBF6AE}"/>
  </bookViews>
  <sheets>
    <sheet name="Change History" sheetId="5" r:id="rId1"/>
    <sheet name="Mapping" sheetId="3" r:id="rId2"/>
    <sheet name="LookUp Table" sheetId="6" r:id="rId3"/>
    <sheet name="CDM Sample" sheetId="9" r:id="rId4"/>
    <sheet name="Sample 856" sheetId="7" r:id="rId5"/>
    <sheet name="MtimShipmentLot" sheetId="8" r:id="rId6"/>
  </sheets>
  <externalReferences>
    <externalReference r:id="rId7"/>
  </externalReferences>
  <definedNames>
    <definedName name="_xlnm._FilterDatabase" localSheetId="1" hidden="1">Mapping!$A$3:$L$108</definedName>
    <definedName name="_xlnm._FilterDatabase" localSheetId="5" hidden="1">MtimShipmentLot!$A$3:$N$383</definedName>
    <definedName name="AllFields" localSheetId="5">[1]Conversions!$A$2:$A$78</definedName>
    <definedName name="AllFields">[1]Conversions!$A$2:$A$78</definedName>
    <definedName name="_xlnm.Print_Titles" localSheetId="5">MtimShipmentLot!$3:$3</definedName>
    <definedName name="Z_3D129FAF_27A7_44E5_B8F7_246A34CAAC9A_.wvu.PrintTitles" localSheetId="5" hidden="1">MtimShipmentLot!$3:$3</definedName>
    <definedName name="Z_49ABB4DB_5BC7_8C4F_8531_F47EB424A3D8_.wvu.PrintTitles" localSheetId="5" hidden="1">MtimShipmentLot!$3:$3</definedName>
    <definedName name="Z_881B4928_52E1_49C1_84D4_70B78A8CFAA5_.wvu.PrintTitles" localSheetId="5" hidden="1">MtimShipmentLot!$3:$3</definedName>
    <definedName name="Z_ED8446D0_D092_4EAF_873E_E9DFB6603DDE_.wvu.PrintTitles" localSheetId="5" hidden="1">MtimShipmentLot!$3:$3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6" i="8" l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137" i="8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136" i="8"/>
  <c r="E40" i="8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39" i="8"/>
  <c r="E38" i="8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76" i="3"/>
  <c r="B102" i="3"/>
  <c r="B103" i="3"/>
  <c r="B4" i="3"/>
  <c r="A38" i="8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6" i="8"/>
  <c r="A137" i="8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6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C226" i="8" l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136" i="8"/>
  <c r="C38" i="8"/>
  <c r="C39" i="8" l="1"/>
  <c r="B27" i="3"/>
  <c r="C137" i="8"/>
  <c r="C138" i="8" s="1"/>
  <c r="C139" i="8" s="1"/>
  <c r="B77" i="3"/>
  <c r="C40" i="8" l="1"/>
  <c r="B28" i="3"/>
  <c r="C140" i="8"/>
  <c r="B78" i="3"/>
  <c r="C141" i="8" l="1"/>
  <c r="C142" i="8" s="1"/>
  <c r="B79" i="3"/>
  <c r="C41" i="8"/>
  <c r="B29" i="3"/>
  <c r="C42" i="8" l="1"/>
  <c r="B30" i="3"/>
  <c r="C143" i="8"/>
  <c r="B80" i="3"/>
  <c r="C43" i="8" l="1"/>
  <c r="B31" i="3"/>
  <c r="C144" i="8"/>
  <c r="B81" i="3"/>
  <c r="C145" i="8" l="1"/>
  <c r="B82" i="3"/>
  <c r="C44" i="8"/>
  <c r="B32" i="3"/>
  <c r="C45" i="8" l="1"/>
  <c r="B33" i="3"/>
  <c r="C146" i="8"/>
  <c r="C147" i="8" s="1"/>
  <c r="C148" i="8" s="1"/>
  <c r="B83" i="3"/>
  <c r="C149" i="8" l="1"/>
  <c r="C150" i="8" s="1"/>
  <c r="B84" i="3"/>
  <c r="C46" i="8"/>
  <c r="B34" i="3"/>
  <c r="C47" i="8" l="1"/>
  <c r="B35" i="3"/>
  <c r="C151" i="8"/>
  <c r="B85" i="3"/>
  <c r="C48" i="8" l="1"/>
  <c r="B36" i="3"/>
  <c r="C152" i="8"/>
  <c r="C153" i="8" s="1"/>
  <c r="B86" i="3"/>
  <c r="C154" i="8" l="1"/>
  <c r="B87" i="3"/>
  <c r="C49" i="8"/>
  <c r="B37" i="3"/>
  <c r="C50" i="8" l="1"/>
  <c r="B38" i="3"/>
  <c r="C155" i="8"/>
  <c r="B88" i="3"/>
  <c r="C156" i="8" l="1"/>
  <c r="B89" i="3"/>
  <c r="C51" i="8"/>
  <c r="B39" i="3"/>
  <c r="C52" i="8" l="1"/>
  <c r="B40" i="3"/>
  <c r="C157" i="8"/>
  <c r="C158" i="8" s="1"/>
  <c r="C159" i="8" s="1"/>
  <c r="B90" i="3"/>
  <c r="C53" i="8" l="1"/>
  <c r="B41" i="3"/>
  <c r="C160" i="8"/>
  <c r="C161" i="8" s="1"/>
  <c r="B91" i="3"/>
  <c r="C162" i="8" l="1"/>
  <c r="B92" i="3"/>
  <c r="C54" i="8"/>
  <c r="C55" i="8" s="1"/>
  <c r="B42" i="3"/>
  <c r="C56" i="8" l="1"/>
  <c r="B43" i="3"/>
  <c r="C163" i="8"/>
  <c r="B93" i="3"/>
  <c r="C57" i="8" l="1"/>
  <c r="C58" i="8" s="1"/>
  <c r="B44" i="3"/>
  <c r="C164" i="8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B94" i="3"/>
  <c r="C193" i="8" l="1"/>
  <c r="B95" i="3"/>
  <c r="C59" i="8"/>
  <c r="B45" i="3"/>
  <c r="C60" i="8" l="1"/>
  <c r="B46" i="3"/>
  <c r="C194" i="8"/>
  <c r="B96" i="3"/>
  <c r="C195" i="8" l="1"/>
  <c r="B97" i="3"/>
  <c r="C61" i="8"/>
  <c r="C62" i="8" s="1"/>
  <c r="B47" i="3"/>
  <c r="C196" i="8" l="1"/>
  <c r="B98" i="3"/>
  <c r="C63" i="8"/>
  <c r="B48" i="3"/>
  <c r="C64" i="8" l="1"/>
  <c r="B49" i="3"/>
  <c r="C197" i="8"/>
  <c r="B99" i="3"/>
  <c r="C65" i="8" l="1"/>
  <c r="B50" i="3"/>
  <c r="C198" i="8"/>
  <c r="B100" i="3"/>
  <c r="C66" i="8" l="1"/>
  <c r="C67" i="8" s="1"/>
  <c r="C68" i="8" s="1"/>
  <c r="B51" i="3"/>
  <c r="C199" i="8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B101" i="3"/>
  <c r="C69" i="8" l="1"/>
  <c r="C70" i="8" s="1"/>
  <c r="B52" i="3"/>
  <c r="C71" i="8" l="1"/>
  <c r="B53" i="3"/>
  <c r="C72" i="8" l="1"/>
  <c r="B54" i="3"/>
  <c r="C73" i="8" l="1"/>
  <c r="B55" i="3"/>
  <c r="C74" i="8" l="1"/>
  <c r="B56" i="3"/>
  <c r="C75" i="8" l="1"/>
  <c r="B57" i="3"/>
  <c r="C76" i="8" l="1"/>
  <c r="B58" i="3"/>
  <c r="C77" i="8" l="1"/>
  <c r="B59" i="3"/>
  <c r="C78" i="8" l="1"/>
  <c r="C79" i="8" s="1"/>
  <c r="C80" i="8" s="1"/>
  <c r="B60" i="3"/>
  <c r="C81" i="8" l="1"/>
  <c r="C82" i="8" s="1"/>
  <c r="B61" i="3"/>
  <c r="C83" i="8" l="1"/>
  <c r="B62" i="3"/>
  <c r="C84" i="8" l="1"/>
  <c r="B63" i="3"/>
  <c r="C85" i="8" l="1"/>
  <c r="B64" i="3"/>
  <c r="C86" i="8" l="1"/>
  <c r="B65" i="3"/>
  <c r="C87" i="8" l="1"/>
  <c r="B66" i="3"/>
  <c r="C88" i="8" l="1"/>
  <c r="B67" i="3"/>
  <c r="C89" i="8" l="1"/>
  <c r="B68" i="3"/>
  <c r="C90" i="8" l="1"/>
  <c r="C91" i="8" s="1"/>
  <c r="C92" i="8" s="1"/>
  <c r="B69" i="3"/>
  <c r="C93" i="8" l="1"/>
  <c r="C94" i="8" s="1"/>
  <c r="B70" i="3"/>
  <c r="C95" i="8" l="1"/>
  <c r="B71" i="3"/>
  <c r="C96" i="8" l="1"/>
  <c r="B72" i="3"/>
  <c r="C97" i="8" l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B73" i="3"/>
  <c r="C110" i="8" l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B74" i="3"/>
  <c r="B75" i="3" l="1"/>
</calcChain>
</file>

<file path=xl/sharedStrings.xml><?xml version="1.0" encoding="utf-8"?>
<sst xmlns="http://schemas.openxmlformats.org/spreadsheetml/2006/main" count="4413" uniqueCount="1780">
  <si>
    <t>Version</t>
  </si>
  <si>
    <t>Change Owner</t>
  </si>
  <si>
    <t>Date</t>
  </si>
  <si>
    <t>Change Description</t>
  </si>
  <si>
    <t>E2open</t>
  </si>
  <si>
    <t>Initial Release</t>
  </si>
  <si>
    <t>Final TARGET CDM MTIMShipmentLot-1.0</t>
  </si>
  <si>
    <t>INTERNAL E2OPEN (IDM/OAGIS)</t>
  </si>
  <si>
    <t>SOURCE X12 856 4010</t>
  </si>
  <si>
    <t>Level</t>
  </si>
  <si>
    <t>Index</t>
  </si>
  <si>
    <t>DESCRIPTION / VALUE</t>
  </si>
  <si>
    <t>SEGMENT / FIELD XPATH</t>
  </si>
  <si>
    <t>CONDITION</t>
  </si>
  <si>
    <t>M/O Usage</t>
  </si>
  <si>
    <t>XPATH</t>
  </si>
  <si>
    <t>DESCRIPTION/VALUE</t>
  </si>
  <si>
    <t>Note</t>
  </si>
  <si>
    <t>ShipmentId</t>
  </si>
  <si>
    <t>Shipment ID</t>
  </si>
  <si>
    <t>Yes</t>
  </si>
  <si>
    <t>/X12/TS_856/BSN/BSN02</t>
  </si>
  <si>
    <t>CustomerName</t>
  </si>
  <si>
    <t>Customer ID</t>
  </si>
  <si>
    <t>/X12/TS_856/GROUP_1[HL/HL03='S']/GROUP_4/N1[N101 = "LW" and N103 = "ZZ"]/N104</t>
  </si>
  <si>
    <t>CustomerDescription</t>
  </si>
  <si>
    <t>Customer Description</t>
  </si>
  <si>
    <t>No</t>
  </si>
  <si>
    <t>/X12/TS_856/GROUP_1[HL/HL03='S']/GROUP_4/N1[N101 = "LW"]/N102</t>
  </si>
  <si>
    <t>CustomerAddressDescriptor</t>
  </si>
  <si>
    <t>Customer Address - Descriptor</t>
  </si>
  <si>
    <t>/X12/TS_856/GROUP_1[HL/HL03='S']/GROUP_4/N2[N1/N101 = "LW"]/N201</t>
  </si>
  <si>
    <t>CustomerAddress1</t>
  </si>
  <si>
    <t>Customer Address 1</t>
  </si>
  <si>
    <t>/X12/TS_856/GROUP_1[HL/HL03='S']/GROUP_4/N2[N1/N101 = "LW"]/N202</t>
  </si>
  <si>
    <t>CustomerAddress2</t>
  </si>
  <si>
    <t>Customer Address 2</t>
  </si>
  <si>
    <t>/X12/TS_856/GROUP_1[HL/HL03='S']/GROUP_4/N3[N1/N101 = "LW"]/N301</t>
  </si>
  <si>
    <t>CustomerAddress3</t>
  </si>
  <si>
    <t>Customer Address 3</t>
  </si>
  <si>
    <t>/X12/TS_856/GROUP_1[HL/HL03='S']/GROUP_4/N3[N1/N101 = "LW"]/N302</t>
  </si>
  <si>
    <t>CustomerAddressCity</t>
  </si>
  <si>
    <t>Customer City</t>
  </si>
  <si>
    <t>/X12/TS_856/GROUP_1[HL/HL03='S']/GROUP_4/N4[N1/N101 = "LW"]/N401</t>
  </si>
  <si>
    <t>CustomerAddressState</t>
  </si>
  <si>
    <t>Customer State</t>
  </si>
  <si>
    <t>/X12/TS_856/GROUP_1[HL/HL03='S']/GROUP_4/N4[N1/N101 = "LW"]/N402</t>
  </si>
  <si>
    <t>CustomerAddressCountry</t>
  </si>
  <si>
    <t>Customer Country</t>
  </si>
  <si>
    <t>/X12/TS_856/GROUP_1[HL/HL03='S']/GROUP_4/N4[N1/N101 = "LW"]/N404</t>
  </si>
  <si>
    <t>CustomerAddressZip</t>
  </si>
  <si>
    <t>Customer Zip</t>
  </si>
  <si>
    <t>/X12/TS_856/GROUP_1[HL/HL03='S']/GROUP_4/N4[N1/N101 = "LW"]/N403</t>
  </si>
  <si>
    <t>SupplierName</t>
  </si>
  <si>
    <t>Supplier ID</t>
  </si>
  <si>
    <t>/X12/TS_856/GROUP_1[HL/HL03='S']/GROUP_4/N1[N101 = "SU"  and N103 = "ZZ"]/N104</t>
  </si>
  <si>
    <t>SupplierDescription</t>
  </si>
  <si>
    <t>Supplier Description</t>
  </si>
  <si>
    <t>/X12/TS_856/GROUP_1[HL/HL03='S']/GROUP_4/N1[N101 = "SU"]/N102</t>
  </si>
  <si>
    <t>SupplierAddressDescriptor</t>
  </si>
  <si>
    <t>Supplier Address - Descriptor</t>
  </si>
  <si>
    <t>/X12/TS_856/GROUP_1[HL/HL03='S']/GROUP_4/N2[N1/N101 = "SU"]/N201</t>
  </si>
  <si>
    <t>SupplierAddress1</t>
  </si>
  <si>
    <t>Supplier Address 1</t>
  </si>
  <si>
    <t>/X12/TS_856/GROUP_1[HL/HL03='S']/GROUP_4/N2[N1/N101 = "SU"]/N202</t>
  </si>
  <si>
    <t>SupplierAddress2</t>
  </si>
  <si>
    <t>Supplier Address 2</t>
  </si>
  <si>
    <t>/X12/TS_856/GROUP_1[HL/HL03='S']/GROUP_4/N3[N1/N101 = "SU"]/N301</t>
  </si>
  <si>
    <t>SupplierAddress3</t>
  </si>
  <si>
    <t>Supplier Address 3</t>
  </si>
  <si>
    <t>/X12/TS_856/GROUP_1[HL/HL03='S']/GROUP_4/N3[N1/N101 = "SU"]/N302</t>
  </si>
  <si>
    <t>SupplierAddressCity</t>
  </si>
  <si>
    <t>Supplier City</t>
  </si>
  <si>
    <t>/X12/TS_856/GROUP_1[HL/HL03='S']/GROUP_4/N4[N1/N101 = "SU"]/N401</t>
  </si>
  <si>
    <t>SupplierAddressState</t>
  </si>
  <si>
    <t>Supplier State</t>
  </si>
  <si>
    <t>/X12/TS_856/GROUP_1[HL/HL03='S']/GROUP_4/N4[N1/N101 = "SU"]/N402</t>
  </si>
  <si>
    <t>SupplierAddressCountry</t>
  </si>
  <si>
    <t>Supplier Country</t>
  </si>
  <si>
    <t>/X12/TS_856/GROUP_1[HL/HL03='S']/GROUP_4/N4[N1/N101 = "SU"]/N404</t>
  </si>
  <si>
    <t>SupplierAddressZip</t>
  </si>
  <si>
    <t>Supplier Zip</t>
  </si>
  <si>
    <t>/X12/TS_856/GROUP_1[HL/HL03='S']/GROUP_4/N4[N1/N101 = "SU"]/N403</t>
  </si>
  <si>
    <t>ShipmentCreationDate</t>
  </si>
  <si>
    <t>Shipment Creation Date</t>
  </si>
  <si>
    <t>YYYY-MM-DDTHH:MM:SS+0000</t>
  </si>
  <si>
    <t>concat(/X12/TS_856/BSN/BSN03, /X12/TS_856/BSN/BSN04)</t>
  </si>
  <si>
    <t>BSN03: CCYYMMDD 
BSN04: HHMMSS</t>
  </si>
  <si>
    <t>ShipmentStatus</t>
  </si>
  <si>
    <t>Shipment Status</t>
  </si>
  <si>
    <t>ShipmentDate</t>
  </si>
  <si>
    <t>Shipment Date</t>
  </si>
  <si>
    <t>/X12/TS_856/GROUP_1[HL/HL03='S']/DTM[DTM01 = "011"]/DTM02</t>
  </si>
  <si>
    <t>DTM02: CCYYMMDD 
DTM03: HHMM</t>
  </si>
  <si>
    <t>PlannedDeliveryDate</t>
  </si>
  <si>
    <t>Planned Delivery Date</t>
  </si>
  <si>
    <t>/X12/TS_856/GROUP_1[HL/HL03='S']/DTM[DTM01 = "017"]/DTM02</t>
  </si>
  <si>
    <t>ETAAtFinalSite</t>
  </si>
  <si>
    <t>Final Site ETA</t>
  </si>
  <si>
    <t>/X12/TS_856/GROUP_1[HL/HL03='S']/DTM[DTM01 = "371"]/DTM02</t>
  </si>
  <si>
    <t>DTM02: CCYYMMDD</t>
  </si>
  <si>
    <t>LastKnownMilestone</t>
  </si>
  <si>
    <t>Last Known Milestone</t>
  </si>
  <si>
    <t>/X12/TS_856/GROUP_1[HL/HL03='S']/REF[REF01 = "76"]/REF02</t>
  </si>
  <si>
    <t>ArrivalAtLastKnownMilestone</t>
  </si>
  <si>
    <t>Last Known Milestone Arrival</t>
  </si>
  <si>
    <t>/X12/TS_856/GROUP_1[HL/HL03='S']/DTM[DTM01 = "372"]/DTM02</t>
  </si>
  <si>
    <t>DepartureFromLastKnownMilestone</t>
  </si>
  <si>
    <t>Last Known Milestone Departure</t>
  </si>
  <si>
    <t>/X12/TS_856/GROUP_1[HL/HL03='S']/DTM[DTM01 = "370"]/DTM02</t>
  </si>
  <si>
    <t>CarrierName</t>
  </si>
  <si>
    <t>Carrier</t>
  </si>
  <si>
    <t>/X12/TS_856/GROUP_1[HL/HL03='S']/TD5[TD501 = "B" and TD502 = "ZZ"]/TD503</t>
  </si>
  <si>
    <t>ShipmentMode</t>
  </si>
  <si>
    <t>Shipment Mode</t>
  </si>
  <si>
    <t>/X12/TS_856/GROUP_1[HL/HL03='S']/TD5[TD501 = "B"]/TD504</t>
  </si>
  <si>
    <t>Lookup source in "Mode/Transportation Mode" table</t>
  </si>
  <si>
    <t>WaybillNumber</t>
  </si>
  <si>
    <t>Waybill #</t>
  </si>
  <si>
    <t>/X12/TS_856/GROUP_1[HL/HL03='S']/REF[REF01 = "WY"]/REF02</t>
  </si>
  <si>
    <t>ShipmentDeliveryBOLNumber</t>
  </si>
  <si>
    <t>Shipment Delivery BOL #</t>
  </si>
  <si>
    <t>/X12/TS_856/GROUP_1[HL/HL03='S']/REF[REF01 = "BM"]/REF02</t>
  </si>
  <si>
    <t>PackingSlipNumber</t>
  </si>
  <si>
    <t>Packing Slip #</t>
  </si>
  <si>
    <t>/X12/TS_856/GROUP_1[HL/HL03='S']/REF[REF01 = "PK"]/REF02</t>
  </si>
  <si>
    <t>CarrierReferenceNumber</t>
  </si>
  <si>
    <t>Carrier Reference #</t>
  </si>
  <si>
    <t>/X12/TS_856/GROUP_1[HL/HL03='S']/REF[REF01 = "ZH"]/REF02</t>
  </si>
  <si>
    <t>ShipperReferenceNumber</t>
  </si>
  <si>
    <t>Shipper Reference #</t>
  </si>
  <si>
    <t>/X12/TS_856/GROUP_1[HL/HL03='S']/REF[REF01 = "SI"]/REF02</t>
  </si>
  <si>
    <t>ShipToLocationType</t>
  </si>
  <si>
    <t>Ship To Type (Site/Hub)</t>
  </si>
  <si>
    <t>HardCode to "Site"</t>
  </si>
  <si>
    <t>CountryOfOrigin</t>
  </si>
  <si>
    <t>Country Of Origin</t>
  </si>
  <si>
    <t>/X12/TS_856/GROUP_1[HL/HL03='S']/REF[REF01 = "4B"]/REF02</t>
  </si>
  <si>
    <t>NumberOfPackages</t>
  </si>
  <si>
    <t>Number Of Packages</t>
  </si>
  <si>
    <t>/X12/TS_856/GROUP_1[HL/HL03='S']/TD1[TD101 = "PKG"]/TD102</t>
  </si>
  <si>
    <t>ImporterOfRecordNumber</t>
  </si>
  <si>
    <t>Importer Of Record Number</t>
  </si>
  <si>
    <t>/X12/TS_856/GROUP_1[HL/HL03='S']/REF[REF01 = "IRN"]/REF02</t>
  </si>
  <si>
    <t>ConsigneeNumber</t>
  </si>
  <si>
    <t>Consignee #</t>
  </si>
  <si>
    <t>/X12/TS_856/GROUP_1[HL/HL03='S']/REF[REF01 = "6A"]/REF02</t>
  </si>
  <si>
    <t>PlaceOfDelivery</t>
  </si>
  <si>
    <t>Place Of Delivery</t>
  </si>
  <si>
    <t>/X12/TS_856/GROUP_1[HL/HL03='S']/TD5[TD501 = "B"and TD507 = "PL"]/TD508</t>
  </si>
  <si>
    <t>ShipToSite</t>
  </si>
  <si>
    <t>Ship To Site</t>
  </si>
  <si>
    <t>/X12/TS_856/GROUP_1[HL/HL03='S']/GROUP_4/N1[N101 = "ST"and N103 = "ZZ"]/N104</t>
  </si>
  <si>
    <t>ShipToPartyName</t>
  </si>
  <si>
    <t>Ship-to-Party Name</t>
  </si>
  <si>
    <t>/X12/TS_856/GROUP_1[HL/HL03='S']/GROUP_4/N1[N101 = "ST"]/N102</t>
  </si>
  <si>
    <t>ShipToAddressDescriptor</t>
  </si>
  <si>
    <t>Ship To Address - Descriptor</t>
  </si>
  <si>
    <t>/X12/TS_856/GROUP_1[HL/HL03='S']/GROUP_4/N2[N101 = "ST"]/N201</t>
  </si>
  <si>
    <t>ShipToAddress1</t>
  </si>
  <si>
    <t>Ship To Address 1</t>
  </si>
  <si>
    <t>/X12/TS_856/GROUP_1[HL/HL03='S']/GROUP_4/N2[N101 = "ST"]/N202</t>
  </si>
  <si>
    <t>ShipToAddress2</t>
  </si>
  <si>
    <t>Ship To Address 2</t>
  </si>
  <si>
    <t>/X12/TS_856/GROUP_1[HL/HL03='S']/GROUP_4/N3[N101 = "ST"]/N301</t>
  </si>
  <si>
    <t>ShipToAddress3</t>
  </si>
  <si>
    <t>Ship To Address 3</t>
  </si>
  <si>
    <t>/X12/TS_856/GROUP_1[HL/HL03='S']/GROUP_4/N3[N101 = "ST"]/N302</t>
  </si>
  <si>
    <t>ShipToAddressCity</t>
  </si>
  <si>
    <t>Ship To City</t>
  </si>
  <si>
    <t>/X12/TS_856/GROUP_1[HL/HL03='S']/GROUP_4/N4[N101 = "ST"]/N401</t>
  </si>
  <si>
    <t>ShipToAddressState</t>
  </si>
  <si>
    <t>Ship To State</t>
  </si>
  <si>
    <t>/X12/TS_856/GROUP_1[HL/HL03='S']/GROUP_4/N4[N101 = "ST"]/N402</t>
  </si>
  <si>
    <t>ShipToAddressCountry</t>
  </si>
  <si>
    <t>Ship To Country</t>
  </si>
  <si>
    <t>/X12/TS_856/GROUP_1[HL/HL03='S']/GROUP_4/N4[N101 = "ST"]/N404</t>
  </si>
  <si>
    <t>ShipToAddressZip</t>
  </si>
  <si>
    <t>Ship To Zip</t>
  </si>
  <si>
    <t>/X12/TS_856/GROUP_1[HL/HL03='S']/GROUP_4/N4[N101 = "ST"]/N403</t>
  </si>
  <si>
    <t>SupplierSiteName</t>
  </si>
  <si>
    <t>Supplier Site</t>
  </si>
  <si>
    <t>/X12/TS_856/GROUP_1[HL/HL03='I']/GROUP_4/N1[N101 = "SF" and N103 = "ZZ"]/N104</t>
  </si>
  <si>
    <t>ShipFromAddressDescriptor</t>
  </si>
  <si>
    <t>Ship From Address - Descriptor</t>
  </si>
  <si>
    <t>/X12/TS_856/GROUP_1[HL/HL03='I']/GROUP_4/N2[N101 = "SF"]/N201</t>
  </si>
  <si>
    <t>ShipFromAddress1</t>
  </si>
  <si>
    <t>Ship From Address 1</t>
  </si>
  <si>
    <t>/X12/TS_856/GROUP_1[HL/HL03='I']/GROUP_4/N2[N101 = "SF"]/N202</t>
  </si>
  <si>
    <t>ShipFromAddress2</t>
  </si>
  <si>
    <t>Ship From Address 2</t>
  </si>
  <si>
    <t>/X12/TS_856/GROUP_1[HL/HL03='I']/GROUP_4/N3[N101 = "SF"]/N301</t>
  </si>
  <si>
    <t>ShipFromAddress3</t>
  </si>
  <si>
    <t>Ship From Address 3</t>
  </si>
  <si>
    <t>/X12/TS_856/GROUP_1[HL/HL03='I']/GROUP_4/N3[N101 = "SF"]/N302</t>
  </si>
  <si>
    <t>ShipFromAddressCity</t>
  </si>
  <si>
    <t>Ship From City</t>
  </si>
  <si>
    <t>/X12/TS_856/GROUP_1[HL/HL03='I']/GROUP_4/N4[N101 = "SF"]/N401</t>
  </si>
  <si>
    <t>ShipFromAddressState</t>
  </si>
  <si>
    <t>Ship From State</t>
  </si>
  <si>
    <t>/X12/TS_856/GROUP_1[HL/HL03='I']/GROUP_4/N4[N101 = "SF"]/N402</t>
  </si>
  <si>
    <t>ShipFromAddressCountry</t>
  </si>
  <si>
    <t>Ship From Country</t>
  </si>
  <si>
    <t>/X12/TS_856/GROUP_1[HL/HL03='I']/GROUP_4/N4[N101 = "SF"]/N404</t>
  </si>
  <si>
    <t>ShipFromAddressZip</t>
  </si>
  <si>
    <t>Ship From Zip</t>
  </si>
  <si>
    <t>/X12/TS_856/GROUP_1[HL/HL03='I']/GROUP_4/N4[N101 = "SF"]/N403</t>
  </si>
  <si>
    <t>BillToName</t>
  </si>
  <si>
    <t>Bill To</t>
  </si>
  <si>
    <t>/X12/TS_856/GROUP_1[HL/HL03='S']/GROUP_4/N1[N101 = "BT" N103 = "ZZ"]/N104</t>
  </si>
  <si>
    <t>BillToAddressDescriptor</t>
  </si>
  <si>
    <t>Bill To Address - Descriptor</t>
  </si>
  <si>
    <t>/X12/TS_856/GROUP_1[HL/HL03='S']/GROUP_4/N2[N101 = "BT"]/N201</t>
  </si>
  <si>
    <t>BillToAddress1</t>
  </si>
  <si>
    <t>Bill To Address 1</t>
  </si>
  <si>
    <t>/X12/TS_856/GROUP_1[HL/HL03='S']/GROUP_4/N2[N101 = "BT"]/N202</t>
  </si>
  <si>
    <t>BillToAddress2</t>
  </si>
  <si>
    <t>Bill To Address 2</t>
  </si>
  <si>
    <t>/X12/TS_856/GROUP_1[HL/HL03='S']/GROUP_4/N3[N101 = "BT"]/N301</t>
  </si>
  <si>
    <t>BillToAddress3</t>
  </si>
  <si>
    <t>Bill To Address 3</t>
  </si>
  <si>
    <t>/X12/TS_856/GROUP_1[HL/HL03='S']/GROUP_4/N3[N101 = "BT"]/N302</t>
  </si>
  <si>
    <t>BillToAddressCity</t>
  </si>
  <si>
    <t>Bill To City</t>
  </si>
  <si>
    <t>/X12/TS_856/GROUP_1[HL/HL03='S']/GROUP_4/N4[N101 = "BT"]/N401</t>
  </si>
  <si>
    <t>BillToAddressState</t>
  </si>
  <si>
    <t>Bill To State</t>
  </si>
  <si>
    <t>/X12/TS_856/GROUP_1[HL/HL03='S']/GROUP_4/N4[N101 = "BT"]/N402</t>
  </si>
  <si>
    <t>BillToAddressCountry</t>
  </si>
  <si>
    <t>Bill To Country</t>
  </si>
  <si>
    <t>/X12/TS_856/GROUP_1[HL/HL03='S']/GROUP_4/N4[N101 = "BT"]/N404</t>
  </si>
  <si>
    <t>BillToAddressZip</t>
  </si>
  <si>
    <t>Bill To Zip</t>
  </si>
  <si>
    <t>/X12/TS_856/GROUP_1[HL/HL03='S']/GROUP_4/N4[N101 = "BT"]/N403</t>
  </si>
  <si>
    <t>BookingPartyAddressZip</t>
  </si>
  <si>
    <t>Booking Party  Zip</t>
  </si>
  <si>
    <t>ShipmentLineItemId</t>
  </si>
  <si>
    <t>Shipment Line ID</t>
  </si>
  <si>
    <t>/X12/TS_856/GROUP_1[HL/HL03='I']/LIN/LIN01</t>
  </si>
  <si>
    <t>ShipmentLineStatus</t>
  </si>
  <si>
    <t>Shipment Line Status</t>
  </si>
  <si>
    <t>Action</t>
  </si>
  <si>
    <t>Hardcode to InsertOrUpdate</t>
  </si>
  <si>
    <t>SupplierItemName</t>
  </si>
  <si>
    <t>Supplier Part Number</t>
  </si>
  <si>
    <t>/X12/TS_856/GROUP_1[HL/HL03='I']/LIN[LIN06 = "VP"]/LIN07</t>
  </si>
  <si>
    <t>SupplierItemDescription</t>
  </si>
  <si>
    <t>Supplier Part Description</t>
  </si>
  <si>
    <t>/X12/TS_856/GROUP_1[HL/HL03='I']/LIN[LIN08 = "PD"]/LIN09</t>
  </si>
  <si>
    <t>ShippedQuantity</t>
  </si>
  <si>
    <t>Shipped Quantity</t>
  </si>
  <si>
    <t>/X12/TS_856/GROUP_1[HL/HL03='I']/SN1/SN102</t>
  </si>
  <si>
    <t>UnitOfMeasure</t>
  </si>
  <si>
    <t>Unit Of Measure</t>
  </si>
  <si>
    <t>/X12/TS_856/GROUP_1[HL/HL03='I']/SN1/SN103</t>
  </si>
  <si>
    <t>FreightCost</t>
  </si>
  <si>
    <t>Freight Cost</t>
  </si>
  <si>
    <t>/X12/TS_856/GROUP_1[HL/HL03='I']/REF[REF01 = "91"]/REF02</t>
  </si>
  <si>
    <t>Currency</t>
  </si>
  <si>
    <t>/X12/TS_856/GROUP_1[HL/HL03='I']/CUR[CUR01 = "LW"]/CUR02</t>
  </si>
  <si>
    <t>NumberOfBoxes</t>
  </si>
  <si>
    <t># Of Boxes</t>
  </si>
  <si>
    <t>/X12/TS_856/GROUP_1[HL/HL03='I']/TD1[TD101 = "BOX"]/TD102</t>
  </si>
  <si>
    <t>CommodityHTS-6</t>
  </si>
  <si>
    <t>Commodity HTS-6</t>
  </si>
  <si>
    <t>/X12/TS_856/GROUP_1[HL/HL03='I']/TD1[TD101 = "BOX" and TD103='A']/TD104</t>
  </si>
  <si>
    <t>ManufacturerName</t>
  </si>
  <si>
    <t>Manufacturer Name</t>
  </si>
  <si>
    <t>/X12/TS_856/GROUP_1[HL/HL03='I']/GROUP_4/N1[N101 = "MF"]/N102</t>
  </si>
  <si>
    <t>ManufacturerAddressDescriptor</t>
  </si>
  <si>
    <t>Manufacturer Address - Descriptor</t>
  </si>
  <si>
    <t>/X12/TS_856/GROUP_1[HL/HL03='I']/GROUP_4/N2[N101 = "MF"]/N201</t>
  </si>
  <si>
    <t>ManufacturerAddress1</t>
  </si>
  <si>
    <t>Manufacturer Address 1</t>
  </si>
  <si>
    <t>/X12/TS_856/GROUP_1[HL/HL03='I']/GROUP_4/N2[N101 = "MF"]/N202</t>
  </si>
  <si>
    <t>ManufacturerAddress2</t>
  </si>
  <si>
    <t>Manufacturer Address 2</t>
  </si>
  <si>
    <t>/X12/TS_856/GROUP_1[HL/HL03='I']/GROUP_4/N3[N101 = "MF"]/N301</t>
  </si>
  <si>
    <t>ManufacturerAddress3</t>
  </si>
  <si>
    <t>Manufacturer Address 3</t>
  </si>
  <si>
    <t>/X12/TS_856/GROUP_1[HL/HL03='I']/GROUP_4/N3[N101 = "MF"]/N302</t>
  </si>
  <si>
    <t>ManufacturerAddressCity</t>
  </si>
  <si>
    <t>Manufacturer City</t>
  </si>
  <si>
    <t>/X12/TS_856/GROUP_1[HL/HL03='I']/GROUP_4/N4[N101 = "MF"]/N401</t>
  </si>
  <si>
    <t>ManufacturerAddressState</t>
  </si>
  <si>
    <t>Manufacturer State</t>
  </si>
  <si>
    <t>/X12/TS_856/GROUP_1[HL/HL03='I']/GROUP_4/N4[N101 = "MF"]/N402</t>
  </si>
  <si>
    <t>ManufacturerAddressCountry</t>
  </si>
  <si>
    <t>Manufacturer Country</t>
  </si>
  <si>
    <t>/X12/TS_856/GROUP_1[HL/HL03='I']/GROUP_4/N4[N101 = "MF"]/N404</t>
  </si>
  <si>
    <t>ManufacturerAddressZip</t>
  </si>
  <si>
    <t>Manufacturer Zip</t>
  </si>
  <si>
    <t>/X12/TS_856/GROUP_1[HL/HL03='I']/GROUP_4/N4[N101 = "MF"]/N403</t>
  </si>
  <si>
    <t>RefdOrderType</t>
  </si>
  <si>
    <t>Ref Order Type</t>
  </si>
  <si>
    <t>Hardcode to "DiscreteOrder"</t>
  </si>
  <si>
    <t>RefdOrderNumber</t>
  </si>
  <si>
    <t>Ref Order ID</t>
  </si>
  <si>
    <t>/X12/TS_856/GROUP_1[HL/HL03='I']/LIN[LIN10 = "PO"]/LIN11</t>
  </si>
  <si>
    <t>RefdOrderLineId</t>
  </si>
  <si>
    <t>Ref Order Line ID</t>
  </si>
  <si>
    <t>/X12/TS_856/GROUP_1[HL/HL03='I']/LIN[LIN12 = "PL"]/LIN13</t>
  </si>
  <si>
    <t>RefdOrderScheduleId</t>
  </si>
  <si>
    <t>Ref Order Request ID</t>
  </si>
  <si>
    <t>Hardcode to '1'</t>
  </si>
  <si>
    <t>RefdOrderPromiseScheduleId</t>
  </si>
  <si>
    <t>Ref Order Promise ID</t>
  </si>
  <si>
    <t>/X12/TS_856/GROUP_1[HL/HL03='I']/LIN[LIN14 = "A7"]/LIN15</t>
  </si>
  <si>
    <t>FlexAttrStringLine1</t>
  </si>
  <si>
    <t>Part Number (HCL)</t>
  </si>
  <si>
    <t>/X12/TS_856/GROUP_1[HL/HL03='I']/LIN[LIN02 = "BP"]/LIN03</t>
  </si>
  <si>
    <t>FlexAttrStringLine2</t>
  </si>
  <si>
    <t>Part Description (HCL)</t>
  </si>
  <si>
    <t>/X12/TS_856/GROUP_1[HL/HL03='I']/LIN[LIN04 = "GE"]/LIN05</t>
  </si>
  <si>
    <t>SerialNumber</t>
  </si>
  <si>
    <t>Serial Number</t>
  </si>
  <si>
    <t>/X12/TS_856/GROUP_1[HL/HL03='UT']/REF[REF01 = "SE"]/REF02</t>
  </si>
  <si>
    <t>BatchNumber</t>
  </si>
  <si>
    <t>Asset Tag Number</t>
  </si>
  <si>
    <t>/X12/TS_856/GROUP_1[HL/HL03='UT']/REF[REF01 = "JH"]/REF02</t>
  </si>
  <si>
    <t>Mode/Transportation Mode</t>
  </si>
  <si>
    <t>Key</t>
  </si>
  <si>
    <t>Value</t>
  </si>
  <si>
    <t>A</t>
  </si>
  <si>
    <t>AIR</t>
  </si>
  <si>
    <t>AC</t>
  </si>
  <si>
    <t>AE</t>
  </si>
  <si>
    <t>AF</t>
  </si>
  <si>
    <t>AH</t>
  </si>
  <si>
    <t>FA</t>
  </si>
  <si>
    <t>PA</t>
  </si>
  <si>
    <t>D</t>
  </si>
  <si>
    <t>PARCEL</t>
  </si>
  <si>
    <t>U</t>
  </si>
  <si>
    <t>R</t>
  </si>
  <si>
    <t>RAIL</t>
  </si>
  <si>
    <t>PR</t>
  </si>
  <si>
    <t>RC</t>
  </si>
  <si>
    <t>ST</t>
  </si>
  <si>
    <t>S</t>
  </si>
  <si>
    <t>OCEAN</t>
  </si>
  <si>
    <t>O</t>
  </si>
  <si>
    <t>Q</t>
  </si>
  <si>
    <t>VE</t>
  </si>
  <si>
    <t>VL</t>
  </si>
  <si>
    <t>SS</t>
  </si>
  <si>
    <t>Y1</t>
  </si>
  <si>
    <t>Y2</t>
  </si>
  <si>
    <t>E</t>
  </si>
  <si>
    <t>ROAD</t>
  </si>
  <si>
    <t>J</t>
  </si>
  <si>
    <t>M</t>
  </si>
  <si>
    <t>FL</t>
  </si>
  <si>
    <t>HH</t>
  </si>
  <si>
    <t>MB</t>
  </si>
  <si>
    <t>MP</t>
  </si>
  <si>
    <t>SC</t>
  </si>
  <si>
    <t>SR</t>
  </si>
  <si>
    <t>TC</t>
  </si>
  <si>
    <t>TT</t>
  </si>
  <si>
    <t>SE</t>
  </si>
  <si>
    <t>MIXED</t>
  </si>
  <si>
    <t>LT</t>
  </si>
  <si>
    <t>LCL</t>
  </si>
  <si>
    <t>Display all the fields in CDM output - even not mapped</t>
  </si>
  <si>
    <t>#0</t>
  </si>
  <si>
    <t>1</t>
  </si>
  <si>
    <t>2</t>
  </si>
  <si>
    <t>5</t>
  </si>
  <si>
    <t>6</t>
  </si>
  <si>
    <t>7</t>
  </si>
  <si>
    <t>8</t>
  </si>
  <si>
    <t>11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</si>
  <si>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</si>
  <si>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</si>
  <si>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</si>
  <si>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</si>
  <si>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</si>
  <si>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</si>
  <si>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</si>
  <si>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</si>
  <si>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</si>
  <si>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26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</si>
  <si>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</si>
  <si>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</si>
  <si>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</si>
  <si>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</si>
  <si>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</si>
  <si>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</si>
  <si>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</si>
  <si>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</si>
  <si>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</si>
  <si>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</si>
  <si>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</si>
  <si>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</si>
  <si>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</si>
  <si>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</si>
  <si>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</si>
  <si>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</si>
  <si>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</si>
  <si>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</si>
  <si>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</si>
  <si>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</si>
  <si>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</si>
  <si>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</si>
  <si>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</si>
  <si>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54</t>
  </si>
  <si>
    <t>55</t>
  </si>
  <si>
    <t>56</t>
  </si>
  <si>
    <t>58</t>
  </si>
  <si>
    <t>59</t>
  </si>
  <si>
    <t>60</t>
  </si>
  <si>
    <t>61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</si>
  <si>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</si>
  <si>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</si>
  <si>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</si>
  <si>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</si>
  <si>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</si>
  <si>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</si>
  <si>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</si>
  <si>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</si>
  <si>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</si>
  <si>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</si>
  <si>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</si>
  <si>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</si>
  <si>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</si>
  <si>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</si>
  <si>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</si>
  <si>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</si>
  <si>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</si>
  <si>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</si>
  <si>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88</t>
  </si>
  <si>
    <t>90</t>
  </si>
  <si>
    <t>91</t>
  </si>
  <si>
    <t>92</t>
  </si>
  <si>
    <t>105</t>
  </si>
  <si>
    <t>130</t>
  </si>
  <si>
    <t>131</t>
  </si>
  <si>
    <t>132</t>
  </si>
  <si>
    <t>135</t>
  </si>
  <si>
    <t>136</t>
  </si>
  <si>
    <t>138</t>
  </si>
  <si>
    <t>139</t>
  </si>
  <si>
    <t>140</t>
  </si>
  <si>
    <t>141</t>
  </si>
  <si>
    <t>144</t>
  </si>
  <si>
    <t>146</t>
  </si>
  <si>
    <t>147</t>
  </si>
  <si>
    <t>149</t>
  </si>
  <si>
    <t>150</t>
  </si>
  <si>
    <t>151</t>
  </si>
  <si>
    <t>152</t>
  </si>
  <si>
    <t>155</t>
  </si>
  <si>
    <t>157</t>
  </si>
  <si>
    <t>158</t>
  </si>
  <si>
    <t>159</t>
  </si>
  <si>
    <t>188</t>
  </si>
  <si>
    <t>189</t>
  </si>
  <si>
    <t>190</t>
  </si>
  <si>
    <t>191</t>
  </si>
  <si>
    <t>192</t>
  </si>
  <si>
    <t>193</t>
  </si>
  <si>
    <t>194</t>
  </si>
  <si>
    <t>326</t>
  </si>
  <si>
    <t>327</t>
  </si>
  <si>
    <t>#Shipment ID</t>
  </si>
  <si>
    <t>ShipmentNumber001</t>
  </si>
  <si>
    <t>Customer Code</t>
  </si>
  <si>
    <t>Customer Name</t>
  </si>
  <si>
    <t>City</t>
  </si>
  <si>
    <t>NY</t>
  </si>
  <si>
    <t>US</t>
  </si>
  <si>
    <t>12343</t>
  </si>
  <si>
    <t>Supplier Code</t>
  </si>
  <si>
    <t>Supplier Name</t>
  </si>
  <si>
    <t>12344</t>
  </si>
  <si>
    <t>2022-09-15T15:27:59+0000</t>
  </si>
  <si>
    <t>2022-09-14T00:00:00+0000</t>
  </si>
  <si>
    <t>2022-09-25T00:00:00+0000</t>
  </si>
  <si>
    <t>2022-09-24T00:00:00+0000</t>
  </si>
  <si>
    <t>2022-09-15T00:00:00+0000</t>
  </si>
  <si>
    <t>2022-09-16T00:00:00+0000</t>
  </si>
  <si>
    <t>Carrier Name</t>
  </si>
  <si>
    <t>Waybill Number</t>
  </si>
  <si>
    <t>Shipment Delivery BOL Number</t>
  </si>
  <si>
    <t>Packing Slip Number</t>
  </si>
  <si>
    <t>Carrier Reference Number</t>
  </si>
  <si>
    <t>Shipper Reference Number</t>
  </si>
  <si>
    <t>Site</t>
  </si>
  <si>
    <t>Consignee Number</t>
  </si>
  <si>
    <t>Place of Delivery</t>
  </si>
  <si>
    <t>Customer Site Code</t>
  </si>
  <si>
    <t>Customer Site Name</t>
  </si>
  <si>
    <t>12345</t>
  </si>
  <si>
    <t>12346</t>
  </si>
  <si>
    <t>Bill To Code</t>
  </si>
  <si>
    <t>InsertOrUpdate</t>
  </si>
  <si>
    <t>Supplier Part Number 001</t>
  </si>
  <si>
    <t>Supplier Part 001 Description</t>
  </si>
  <si>
    <t>EA</t>
  </si>
  <si>
    <t>USD</t>
  </si>
  <si>
    <t>090962</t>
  </si>
  <si>
    <t>DiscreteOrder</t>
  </si>
  <si>
    <t>PO Number 001</t>
  </si>
  <si>
    <t>0010</t>
  </si>
  <si>
    <t>HCL Part Number 001</t>
  </si>
  <si>
    <t>HCL Part 001 Description</t>
  </si>
  <si>
    <t>Serial Number 1.1</t>
  </si>
  <si>
    <t>Asset Tag Number 1.1</t>
  </si>
  <si>
    <t>Serial Number 1.2</t>
  </si>
  <si>
    <t>Asset Tag Number 1.2</t>
  </si>
  <si>
    <t>Supplier Part Number 002</t>
  </si>
  <si>
    <t>Supplier Part 002 Description</t>
  </si>
  <si>
    <t>3</t>
  </si>
  <si>
    <t>0020</t>
  </si>
  <si>
    <t>HCL Part Number 002</t>
  </si>
  <si>
    <t>HCL Part 002 Description</t>
  </si>
  <si>
    <t>Serial Number 2.1</t>
  </si>
  <si>
    <t>Asset Tag Number 2.1</t>
  </si>
  <si>
    <t>Serial Number 2.2</t>
  </si>
  <si>
    <t>Asset Tag Number 2.2</t>
  </si>
  <si>
    <t>Serial Number 3.2</t>
  </si>
  <si>
    <t>Asset Tag Number 3.2</t>
  </si>
  <si>
    <t>ISA*00*          *00*          *ZZ*Interchange Sen*ZZ*Interchange Rec*220915*1527*U*00401*000000001*0*P*~'</t>
  </si>
  <si>
    <t>GS*SH*Application Sen*Application Rec*20220915*152759*100000*X*004010'</t>
  </si>
  <si>
    <t>ST*856*0001'</t>
  </si>
  <si>
    <t>BSN*00*ShipmentNumber001*20220915*152759'</t>
  </si>
  <si>
    <t>HL*1**S'</t>
  </si>
  <si>
    <t>TD1*PKG*2'</t>
  </si>
  <si>
    <t>TD5*B*ZZ*Carrier Name*A***PL*Place of Delivery'</t>
  </si>
  <si>
    <t>REF*76*Last Known Milestone'</t>
  </si>
  <si>
    <t>REF*WY*Waybill Number'</t>
  </si>
  <si>
    <t>REF*BM*Shipment Delivery BOL Number'</t>
  </si>
  <si>
    <t>REF*PK*Packing Slip Number'</t>
  </si>
  <si>
    <t>REF*ZH*Carrier Reference Number'</t>
  </si>
  <si>
    <t>REF*SI*Shipper Reference Number'</t>
  </si>
  <si>
    <t>REF*4B*Country Of Origin'</t>
  </si>
  <si>
    <t>REF*6A*Consignee Number'</t>
  </si>
  <si>
    <t>REF*IRN*Importer Of Record Number'</t>
  </si>
  <si>
    <t>DTM*011*20220914'</t>
  </si>
  <si>
    <t>DTM*017*20220925'</t>
  </si>
  <si>
    <t>DTM*371*20220924'</t>
  </si>
  <si>
    <t>DTM*372*20220915'</t>
  </si>
  <si>
    <t>DTM*370*20220916'</t>
  </si>
  <si>
    <t>N1*LW*Customer Name*ZZ*Customer Code'</t>
  </si>
  <si>
    <t>N2*Customer Address - Descriptor*Customer Address 1'</t>
  </si>
  <si>
    <t>N3*Customer Address 2*Customer Address 3'</t>
  </si>
  <si>
    <t>N4*City*NY*12343*US'</t>
  </si>
  <si>
    <t>N1*SU*Supplier Name*ZZ*Supplier Code'</t>
  </si>
  <si>
    <t>N2*Supplier Address - Descriptor*Supplier Address 1'</t>
  </si>
  <si>
    <t>N3*Supplier Address 2*Supplier Address 3'</t>
  </si>
  <si>
    <t>N4*City*NY*12344*US'</t>
  </si>
  <si>
    <t>N1*ST*Customer Site Name*ZZ*Customer Site Code'</t>
  </si>
  <si>
    <t>N2*Ship To Address - Descriptor*Ship To Address 1'</t>
  </si>
  <si>
    <t>N3*Ship To Address 2*Ship To Address 3'</t>
  </si>
  <si>
    <t>N4*City*NY*12345*US'</t>
  </si>
  <si>
    <t>N1*BT**ZZ*Bill To Code'</t>
  </si>
  <si>
    <t>N2*Bill To Address - Descriptor*Bill To Address 1'</t>
  </si>
  <si>
    <t>N3*Bill To Address 2*Bill To Address 3'</t>
  </si>
  <si>
    <t>N4*City*NY*12346*US'</t>
  </si>
  <si>
    <t>HL*2*1*I'</t>
  </si>
  <si>
    <t>LIN*1*BP*HCL Part Number 001*GE*HCL Part 001 Description*VP*Supplier Part Number 001*PD*Supplier Part 001 Description*PO*PO Number 001*PL*0010*A7*1'</t>
  </si>
  <si>
    <t>SN1**2*EA'</t>
  </si>
  <si>
    <t>TD1*BOX*2*A*090962'</t>
  </si>
  <si>
    <t>REF*91*Freight Cost'</t>
  </si>
  <si>
    <t>REF*ACC*Shipment Line 1 Status'</t>
  </si>
  <si>
    <t>N1*SF**ZZ*Supplier Site'</t>
  </si>
  <si>
    <t>N2*Ship From Address - Descriptor*Ship From Address 1'</t>
  </si>
  <si>
    <t>N3*Ship From Address 2*Ship From Address 3'</t>
  </si>
  <si>
    <t>N1*MF*Manufacturer Name'</t>
  </si>
  <si>
    <t>N2*Manufacturer Address - Descriptor*Manufacturer Address 1'</t>
  </si>
  <si>
    <t>N3*Manufacturer Address 2*Manufacturer Address 3'</t>
  </si>
  <si>
    <t>CUR*LW*USD'</t>
  </si>
  <si>
    <t>HL*3*2*UT'</t>
  </si>
  <si>
    <t>REF*SE*Serial Number 1.1'</t>
  </si>
  <si>
    <t>REF*JH*Asset Tag Number 1.1'</t>
  </si>
  <si>
    <t>HL*4*2*UT'</t>
  </si>
  <si>
    <t>REF*SE*Serial Number 1.2'</t>
  </si>
  <si>
    <t>REF*JH*Asset Tag Number 1.2'</t>
  </si>
  <si>
    <t>HL*5*1*I'</t>
  </si>
  <si>
    <t>LIN*2*BP*HCL Part Number 002*GE*HCL Part 002 Description*VP*Supplier Part Number 002*PD*Supplier Part 002 Description*PO*PO Number 001*PL*0020*A7*1'</t>
  </si>
  <si>
    <t>SN1**3*EA'</t>
  </si>
  <si>
    <t>TD1*BOX*3*A*090962'</t>
  </si>
  <si>
    <t>REF*ACC*Shipment Line 2 Status'</t>
  </si>
  <si>
    <t>N1*MF**ZZ*Manufacturer Code'</t>
  </si>
  <si>
    <t>HL*6*5*UT'</t>
  </si>
  <si>
    <t>REF*SE*Serial Number 2.1'</t>
  </si>
  <si>
    <t>REF*JH*Asset Tag Number 2.1'</t>
  </si>
  <si>
    <t>HL*7*5*UT'</t>
  </si>
  <si>
    <t>REF*SE*Serial Number 2.2'</t>
  </si>
  <si>
    <t>REF*JH*Asset Tag Number 2.2'</t>
  </si>
  <si>
    <t>HL*8*5*UT'</t>
  </si>
  <si>
    <t>REF*SE*Serial Number 3.2'</t>
  </si>
  <si>
    <t>REF*JH*Asset Tag Number 3.2'</t>
  </si>
  <si>
    <t>SE*81*0001'</t>
  </si>
  <si>
    <t>GE*1*100000'</t>
  </si>
  <si>
    <t>IEA*1*000000001'</t>
  </si>
  <si>
    <t>Mapping Preconditions:</t>
  </si>
  <si>
    <t>Field Name</t>
  </si>
  <si>
    <t>Display Name</t>
  </si>
  <si>
    <t>Field Description</t>
  </si>
  <si>
    <t>Data Type</t>
  </si>
  <si>
    <t>Required</t>
  </si>
  <si>
    <t>Validation</t>
  </si>
  <si>
    <t>SSP Label Bundle</t>
  </si>
  <si>
    <t>Derived Formula</t>
  </si>
  <si>
    <t>FlexCDM Data</t>
  </si>
  <si>
    <t>Used</t>
  </si>
  <si>
    <t>DB Data Type</t>
  </si>
  <si>
    <t>* Shipment Number
* Unique by CustomerName and SupplierName.  Can be the same value if either of these change
* Change in value is unpermitted</t>
  </si>
  <si>
    <t>String(64)</t>
  </si>
  <si>
    <t>ssp.res.shipment.id</t>
  </si>
  <si>
    <t>*,*.down</t>
  </si>
  <si>
    <t>Both</t>
  </si>
  <si>
    <t>VARCHAR(64)</t>
  </si>
  <si>
    <t>* Customer ID for the Shipment
* Should match the "ERP_Code" in the Referenced Order spec 
* Value is validated in the InsertOrUpdate upload</t>
  </si>
  <si>
    <t>regex="${ssp.regex.validation.erp.customer.code}"</t>
  </si>
  <si>
    <t>ssp.res.erp.customer.code</t>
  </si>
  <si>
    <t>groovy=
return (input[index(&lt;%AsnLineItem.PdfString11%&gt;)] == '$null') ? input[index(&lt;%AsnHeader.CustomerName%&gt;)] : input[index(&lt;%AsnLineItem.PdfString11%&gt;)]</t>
  </si>
  <si>
    <t>* User-friendly description of CustomerName entry
* Pass-through field in InsertOrUpdate
* Preferably match the "ERP_Code_Description" in the Referenced Order spec, but need not match</t>
  </si>
  <si>
    <t>String(255)</t>
  </si>
  <si>
    <t>ssp.res.erp.code.description</t>
  </si>
  <si>
    <t>groovy=
return (input[index(&lt;%AsnLineItem.PdfString11%&gt;)] == '$null') ? input[index(&lt;%AsnHeader.CustomerDescription%&gt;)] : input[index(&lt;%AsnLineItem.PdfString14%&gt;)]</t>
  </si>
  <si>
    <t>VARCHAR(255)</t>
  </si>
  <si>
    <t>CustomerDUNS</t>
  </si>
  <si>
    <t>Customer DUNS</t>
  </si>
  <si>
    <t>* Customer DUNS number
* Pass-through field in InsertOrUpdate
* Preferably match the "DUNS" in the HUB spec, but need not match
* Used for B2B Integration</t>
  </si>
  <si>
    <t>ssp.res.customer.duns</t>
  </si>
  <si>
    <t>CustomerDUNS4</t>
  </si>
  <si>
    <t>Customer DUNS+4</t>
  </si>
  <si>
    <t>* Customer DUNS+4 number
* Pass-through field in InsertOrUpdate
* Used for B2B Integration</t>
  </si>
  <si>
    <t>ssp.res.customer.duns4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</si>
  <si>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</si>
  <si>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</si>
  <si>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</si>
  <si>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String(256)</t>
  </si>
  <si>
    <t>ssp.res.customer.address1</t>
  </si>
  <si>
    <t>VARCHAR(1024)</t>
  </si>
  <si>
    <t>* Customer Address Field 3
* Preferably match "Cust/Supp_Address-Address2" in HUB spec, but need not match
* In InsertOrUpdate persisted if presented, otherwise will use the previous value</t>
  </si>
  <si>
    <t>ssp.res.customer.address2</t>
  </si>
  <si>
    <t>* Customer Address Field 4
* Preferably match "Cust/Supp_Address-Address3" in HUB spec, but need not match
* In InsertOrUpdate persisted if presented, otherwise will use the previous value</t>
  </si>
  <si>
    <t>ssp.res.customer.address3</t>
  </si>
  <si>
    <t>CustomerAddress4</t>
  </si>
  <si>
    <t>Customer Address 4</t>
  </si>
  <si>
    <t>* Customer Address Field 5
* Preferably match "Cust/Supp_Address-Address4" in HUB spec, but need not match
* In InsertOrUpdate persisted if presented, otherwise will use the previous value</t>
  </si>
  <si>
    <t>ssp.res.customer.address4</t>
  </si>
  <si>
    <t>CustomerAddress5</t>
  </si>
  <si>
    <t>Customer Address 5</t>
  </si>
  <si>
    <t>* Customer Address Field 6
* Preferably match "Cust/Supp_Address-Address5" in HUB spec, but need not match
* In InsertOrUpdate persisted if presented, otherwise will use the previous value</t>
  </si>
  <si>
    <t>ssp.res.customer.address5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</si>
  <si>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</si>
  <si>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</si>
  <si>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CustomerAddressCounty</t>
  </si>
  <si>
    <t>Customer County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</si>
  <si>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</si>
  <si>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</si>
  <si>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</si>
  <si>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</si>
  <si>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</si>
  <si>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</si>
  <si>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</si>
  <si>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</si>
  <si>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* Supplier ID for the Shipment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</si>
  <si>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regex="${ssp.regex.validation.erp.supplier.code}"</t>
  </si>
  <si>
    <t>ssp.res.erp.supplier.code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</si>
  <si>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</si>
  <si>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</si>
  <si>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SupplierDUNS</t>
  </si>
  <si>
    <t>Supplier DUNS</t>
  </si>
  <si>
    <t>* Supplier DUNS number
* Pass-through field in InsertOrUpdate
* Preferably match the "DUNS" in the SUPPLIER spec, but need not match
* Used for B2B Integration</t>
  </si>
  <si>
    <t>ssp.res.supplier.duns</t>
  </si>
  <si>
    <t>SupplierDUNS4</t>
  </si>
  <si>
    <t>Supplier DUNS+4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</si>
  <si>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</si>
  <si>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</si>
  <si>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</si>
  <si>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</si>
  <si>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</si>
  <si>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ssp.res.supplier.address1</t>
  </si>
  <si>
    <t>* Supplier Address Field 3
* Preferably match "Supplier_Address-Address2" in SUPPLIER spec, but need not match
* In InsertOrUpdate persisted if presented, otherwise will use the previous value</t>
  </si>
  <si>
    <t>ssp.res.supplier.address2</t>
  </si>
  <si>
    <t>* Supplier Address Field 4
* Preferably match "Supplier_Address-Address3" in SUPPLIER spec, but need not match
* In InsertOrUpdate persisted if presented, otherwise will use the previous value</t>
  </si>
  <si>
    <t>ssp.res.supplier.address3</t>
  </si>
  <si>
    <t>SupplierAddress4</t>
  </si>
  <si>
    <t>Supplier Address 4</t>
  </si>
  <si>
    <t>* Supplier Address Field 5
* Preferably match "Supplier_Address-Address4" in SUPPLIER spec, but need not match
* In InsertOrUpdate persisted if presented, otherwise will use the previous value</t>
  </si>
  <si>
    <t>ssp.res.supplier.address4</t>
  </si>
  <si>
    <t>SupplierAddress5</t>
  </si>
  <si>
    <t>Supplier Address 5</t>
  </si>
  <si>
    <t>* Supplier Address Field 6
* Preferably match "Supplier_Address-Address5" in SUPPLIER spec but need not match
* In InsertOrUpdate persisted if presented, otherwise will use the previous value</t>
  </si>
  <si>
    <t>ssp.res.supplier.address5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</si>
  <si>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</si>
  <si>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</si>
  <si>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SupplierAddressCounty</t>
  </si>
  <si>
    <t>Supplier County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</si>
  <si>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</si>
  <si>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</si>
  <si>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</si>
  <si>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</si>
  <si>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</si>
  <si>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</si>
  <si>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</si>
  <si>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</si>
  <si>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* Creation date of the shipment
* If not empty during B2B InsertOrUpdate, then persisted as presented.
* If empty at the time of Shipment creation, then set to E2open system time at the time of creation.</t>
  </si>
  <si>
    <t>DATE</t>
  </si>
  <si>
    <t>ssp.res.shipment.creation.date</t>
  </si>
  <si>
    <t>ShipmentCreatorCode</t>
  </si>
  <si>
    <t>Shipment Creator Code</t>
  </si>
  <si>
    <t>* ERP Shipment Creator Code for the Shipment
* In InsertOrUpdate value persisted if not empty
* Searchable field in the Web UI by default
* Can be used to constain permissiblity for roles</t>
  </si>
  <si>
    <t>ssp.res.shipment.creator.code</t>
  </si>
  <si>
    <t>* Aggregate status based on underlying Shipment line status
* SCPM server computed
* Download-only field, to be presented as empty in all uploads.  If presented as non-empty in upload, then an empty value is sent to the SCPM server and computed in SCPM server</t>
  </si>
  <si>
    <t>ssp.res.shipment.status</t>
  </si>
  <si>
    <t>&lt;%AsnHeader.AsnState%&gt;</t>
  </si>
  <si>
    <t>* The ERP Shipped Date for the Referenced Order.
* The values allowed must be on or after the Current Day of the week (past requests are not allowed)
* Update only allowed in InsertOrUpdate</t>
  </si>
  <si>
    <t>ssp.res.shipment.date</t>
  </si>
  <si>
    <t>* The ERP Planned Delivery Date for the Referenced Order.
* The values allowed must be on or after the Current Day of the week (past requests are not allowed)
* Update only allowed in InsertOrUpdate</t>
  </si>
  <si>
    <t>ssp.res.planned.delivery.date</t>
  </si>
  <si>
    <t>* The Carrier updates Estimated Time of Arrival of the Shipment.
* The values allowed must be on or after the Current Day of the week (past requests are not allowed)
* Update only allowed in InsertOrUpdate</t>
  </si>
  <si>
    <t>ssp.res.eta.at.final.site</t>
  </si>
  <si>
    <t>* The Carrier updates Last Known Milestone of the Shipment.
* The values allowed must be on or after the Current Day of the week (past requests are not allowed)
* Update only allowed in InsertOrUpdate</t>
  </si>
  <si>
    <t>ssp.res.last.known.milestone</t>
  </si>
  <si>
    <t>* The Carrier updates Arrival Last Known Milestone of the Shipment.
* The values allowed must be on or after the Current Day of the week (past requests are not allowed)
* Update only allowed in InsertOrUpdate</t>
  </si>
  <si>
    <t>ssp.res.arrival.at.last.known.milestone</t>
  </si>
  <si>
    <t>* The Carrier updates Departure Last Known Milestone of the Shipment.
* The values allowed must be on or after the Current Day of the week (past requests are not allowed)
* Update only allowed in InsertOrUpdate</t>
  </si>
  <si>
    <t>ssp.res.departure.from.last.known.milestone</t>
  </si>
  <si>
    <t>* The ERP requested Carrier for the Shipment
* Pass-through field in InsertOrUpdate</t>
  </si>
  <si>
    <t>ssp.res.carrier</t>
  </si>
  <si>
    <t>* The ERP specified mode that shipment is transported.
* Pass-through field in InsertOrUpdate.</t>
  </si>
  <si>
    <t>ssp.res.shipment.mode</t>
  </si>
  <si>
    <t>* The ERP Shipment tracking number.
* Pass-through field in InsertOrUpdate.</t>
  </si>
  <si>
    <t>ssp.res.way.bill.number</t>
  </si>
  <si>
    <t>* The ERP Bill of Lading Number that referenced binding document between a Supplier and Carrier. 
* The document details all the information needed to process a freight shipment.
* Pass-through field in InsertOrUpdate.</t>
  </si>
  <si>
    <t>ssp.res.shipment.delivery.bol.number</t>
  </si>
  <si>
    <t>* The number referenced the packing slip on the Shipment.
* Shipping document that serves as a record of the content in the shipment.
* Pass-through field in InsertOrUpdate.</t>
  </si>
  <si>
    <t>ssp.res.packing.slip.number.header</t>
  </si>
  <si>
    <t>* The ERP Carrier Reference Number is used by Carriers as a reference for freight movement.
* Pass-through field in InsertOrUpdate.</t>
  </si>
  <si>
    <t>ssp.res.carrier.reference.number</t>
  </si>
  <si>
    <t>* The ERP Shipment Reference Number is an unique identifier of the Shipment.
* Usually provided/updated by the Carrier.
* Pass-through field in InsertOrUpdate.</t>
  </si>
  <si>
    <t>ssp.res.shipper.reference.number</t>
  </si>
  <si>
    <t>* The system level indicator of shipped to location type.
* Utilized by SCPM to determine how Shipment is aggregated or computed.
* Value is validated in the InsertOrUpdate upload.</t>
  </si>
  <si>
    <t>enum=(Hub|Site)</t>
  </si>
  <si>
    <t>ssp.res.ship.to.location.type</t>
  </si>
  <si>
    <t>* The ERP Country of Origin is the country where goods or products comes from.
* Usually provided/updated by the Carrier.
* Pass-through field in InsertOrUpdate.</t>
  </si>
  <si>
    <t>ssp.res.country.of.origin</t>
  </si>
  <si>
    <t>* Amount of shipped goods in packages unit
* Pass-through field in InsertOrUpdate.</t>
  </si>
  <si>
    <t>Integer(10)</t>
  </si>
  <si>
    <t>ssp.res.number.of.packages</t>
  </si>
  <si>
    <t>NUMBER(10)</t>
  </si>
  <si>
    <t>LicensePlateNumber</t>
  </si>
  <si>
    <t>License Plate</t>
  </si>
  <si>
    <t>* Unique identifier for vehicle transporting the Shipment.
* Pass-through field in InsertOrUpdate.</t>
  </si>
  <si>
    <t>ssp.res.license.plate.number</t>
  </si>
  <si>
    <t>Importer Of #</t>
  </si>
  <si>
    <t>* Customs term for the entity responsible for 
* (1) ensuring the imported goods comply with local laws and regulations, 
* (2) filing a completed duty entry and associated documents and (3) paying the assessed import duties and other taxes on those goods."
* Pass-through field in InsertOrUpdate</t>
  </si>
  <si>
    <t>ssp.res.importer.of.record.number</t>
  </si>
  <si>
    <t>* The ERP Consignee Number that identify entity finanacially responsible for the receipt of the Shipment.
* Pass-through field in InsertOrUpdate.</t>
  </si>
  <si>
    <t>ssp.res.consignee.number</t>
  </si>
  <si>
    <t>ForeignPortOfUnlading</t>
  </si>
  <si>
    <t>Foreign Port Of Unlading</t>
  </si>
  <si>
    <t>* The port in a foreign country where the goods are removed from the exporting carrier.
* Pass-through field in InsertOrUpdate.</t>
  </si>
  <si>
    <t>ssp.res.foreign.port.of.unlading</t>
  </si>
  <si>
    <t>* The location, can be different from Ship To Site, that is agreed amoung Supplier, Buyer, and Carrier.
* Goods are handed over from Supplier to the Carrier and also where risk passes from Supplier to the Buyer.
* Pass-through field in InsertOrUpdate</t>
  </si>
  <si>
    <t>ssp.res.place.of.delivery</t>
  </si>
  <si>
    <t>* The Ship To Site on the Shipment Schedule
* Should match the "ERP_Site" in the HUB spec used to define the ship to sites
* Key field established and validated in Shipment Schedule creation by InsertOrUpdate
* Change in value is unpermitted</t>
  </si>
  <si>
    <t>regex="${ssp.regex.validation.erp.ship.to.site}"</t>
  </si>
  <si>
    <t>ssp.res.ship.to.site</t>
  </si>
  <si>
    <t>* The Remote Customer for the CustomerSite if different from CustomerName
* The ShipToPartyName must correspond to a valid "ERP_Code" in the HUB spec</t>
  </si>
  <si>
    <t>ssp.res.ship.to.party.name</t>
  </si>
  <si>
    <t>ShipToPartyDUNS</t>
  </si>
  <si>
    <t>Ship-to-Party DUNS</t>
  </si>
  <si>
    <t>* Ship To Party DUNS number
* Pass-through field in InsertOrUpdate
* Preferably match the "DUNS" in the HUB spec, but need not match
* Used for B2B Integration</t>
  </si>
  <si>
    <t>ssp.res.ship.to.party.duns</t>
  </si>
  <si>
    <t>* Ship to Address Field 1
* Preferably match "Cust/Supp_Address-Descriptor" in HUB spec, but need not match
* In InsertOrUpdate persisted if presented, otherwise will use the previous value</t>
  </si>
  <si>
    <t>ssp.res.ship.to.address.descriptor</t>
  </si>
  <si>
    <t>* Ship to Address Field 2
* Preferably match "Cust/Supp_Address-Address1" in HUB spec but need not match
* In InsertOrUpdate persisted if presented, otherwise will use the previous value</t>
  </si>
  <si>
    <t>ssp.res.ship.to.address1</t>
  </si>
  <si>
    <t>* Ship to Address Field 3
* Preferably match "Cust/Supp_Address-Address2" in HUB spec, but need not match
* In InsertOrUpdate persisted if presented, otherwise will use the previous value</t>
  </si>
  <si>
    <t>ssp.res.ship.to.address2</t>
  </si>
  <si>
    <t>* Ship to Address Field 4
* Preferably match "Cust/Supp_Address-Address3" in HUB spec, but need not match
* In InsertOrUpdate persisted if presented, otherwise will use the previous value</t>
  </si>
  <si>
    <t>ssp.res.ship.to.address3</t>
  </si>
  <si>
    <t>ShipToAddress4</t>
  </si>
  <si>
    <t>Ship To Address 4</t>
  </si>
  <si>
    <t>* Ship to Address Field 5
* Preferably match "Cust/Supp_Address-Address4" in HUB spec, but need not match
* In InsertOrUpdate persisted if presented, otherwise will use the previous value</t>
  </si>
  <si>
    <t>ssp.res.ship.to.address4</t>
  </si>
  <si>
    <t>ShipToAddress5</t>
  </si>
  <si>
    <t>Ship To Address 5</t>
  </si>
  <si>
    <t>* Ship to Address Field 6
* Preferably match "Cust/Supp_Address-Address5" in HUB spec, but need not match
* In InsertOrUpdate persisted if presented, otherwise will use the previous value</t>
  </si>
  <si>
    <t>ssp.res.ship.to.address5</t>
  </si>
  <si>
    <t>* Ship to Address Field 7
* Preferably match "Cust/Supp_Address-City" in HUB spec, but need not match
* In InsertOrUpdate persisted if presented, otherwise will use the previous value</t>
  </si>
  <si>
    <t>ssp.res.ship.to.address.city</t>
  </si>
  <si>
    <t>ShipToAddressCounty</t>
  </si>
  <si>
    <t>Ship To County</t>
  </si>
  <si>
    <t>* Ship to Address Field 8
* Preferably match "Cust/Supp_Address-County" in HUB spec, but need not match
* In InsertOrUpdate persisted if presented, otherwise will use the previous value</t>
  </si>
  <si>
    <t>ssp.res.ship.to.address.county</t>
  </si>
  <si>
    <t>* Ship to Address Field 9
* Preferably match "Cust/Supp_Address-State" in HUB spec, but need not match
* In InsertOrUpdate persisted if presented, otherwise will use the previous value</t>
  </si>
  <si>
    <t>ssp.res.ship.to.address.state</t>
  </si>
  <si>
    <t>* Ship to Address Field 10
* Preferably match "Cust/Supp_Address-Country" in HUB spec, but need not match
* In InsertOrUpdate persisted if presented, otherwise will use the previous value</t>
  </si>
  <si>
    <t>ssp.res.ship.to.address.country</t>
  </si>
  <si>
    <t>* Ship to Address Field 11
* Preferably match "Cust/Supp_Address-Zip" in HUB spec, but need not match
* In InsertOrUpdate persisted if presented, otherwise will use the previous value</t>
  </si>
  <si>
    <t>ssp.res.ship.to.address.zip.code</t>
  </si>
  <si>
    <t>* The Ship From Site on the Referenced Order Promise Schedule
* In the InsertOrUpdate this is indicative of customer requirements to ship from a predefined supplier site if present in the solution.
* By default this is not present in the SSP solution.</t>
  </si>
  <si>
    <t>ssp.res.supplier.site</t>
  </si>
  <si>
    <t>* Ship from Address Field 1
* Preferably match "Cust/Supp_Address-Descriptor" in HUB spec, but need not match
* In InsertOrUpdate persisted if presented, otherwise will use the previous value</t>
  </si>
  <si>
    <t>ssp.res.ship.from.address.descriptor</t>
  </si>
  <si>
    <t>* Ship from Address Field 2
* Preferably match "Cust/Supp_Address-Address1" in HUB spec but need not match
* In InsertOrUpdate persisted if presented, otherwise will use the previous value</t>
  </si>
  <si>
    <t>ssp.res.ship.from.address1</t>
  </si>
  <si>
    <t>* Ship from Address Field 3
* Preferably match "Cust/Supp_Address-Address2" in HUB spec, but need not match
* In InsertOrUpdate persisted if presented, otherwise will use the previous value</t>
  </si>
  <si>
    <t>ssp.res.ship.from.address2</t>
  </si>
  <si>
    <t>* Ship from Address Field 4
* Preferably match "Cust/Supp_Address-Address3" in HUB spec, but need not match
* In InsertOrUpdate persisted if presented, otherwise will use the previous value</t>
  </si>
  <si>
    <t>ssp.res.ship.from.address3</t>
  </si>
  <si>
    <t>ShipFromAddress4</t>
  </si>
  <si>
    <t>Ship From Address 4</t>
  </si>
  <si>
    <t>* Ship from Address Field 5
* Preferably match "Cust/Supp_Address-Address4" in HUB spec, but need not match
* In InsertOrUpdate persisted if presented, otherwise will use the previous value</t>
  </si>
  <si>
    <t>ssp.res.ship.from.address4</t>
  </si>
  <si>
    <t>ShipFromAddress5</t>
  </si>
  <si>
    <t>Ship From Address 5</t>
  </si>
  <si>
    <t>* Ship from Address Field 6
* Preferably match "Cust/Supp_Address-Address5" in HUB spec, but need not match
* In InsertOrUpdate persisted if presented, otherwise will use the previous value</t>
  </si>
  <si>
    <t>ssp.res.ship.from.address5</t>
  </si>
  <si>
    <t>* Ship from Address Field 7
* Preferably match "Cust/Supp_Address-City" in HUB spec, but need not match
* In InsertOrUpdate persisted if presented, otherwise will use the previous value</t>
  </si>
  <si>
    <t>ssp.res.ship.from.address.city</t>
  </si>
  <si>
    <t>ShipFromAddressCounty</t>
  </si>
  <si>
    <t>Ship From County</t>
  </si>
  <si>
    <t>* Ship from Address Field 8
* Preferably match "Cust/Supp_Address-County" in HUB spec, but need not match
* In InsertOrUpdate persisted if presented, otherwise will use the previous value</t>
  </si>
  <si>
    <t>ssp.res.ship.from.address.county</t>
  </si>
  <si>
    <t>* Ship from Address Field 9
* Preferably match "Cust/Supp_Address-State" in HUB spec, but need not match
* In InsertOrUpdate persisted if presented, otherwise will use the previous value</t>
  </si>
  <si>
    <t>ssp.res.ship.from.address.state</t>
  </si>
  <si>
    <t>* Ship from Address Field 10
* Preferably match "Cust/Supp_Address-Country" in HUB spec, but need not match
* In InsertOrUpdate persisted if presented, otherwise will use the previous value</t>
  </si>
  <si>
    <t>ssp.res.ship.from.address.country</t>
  </si>
  <si>
    <t>* Ship from Address Field 11
* Preferably match "Cust/Supp_Address-Zip" in HUB spec, but need not match
* In InsertOrUpdate persisted if presented, otherwise will use the previous value</t>
  </si>
  <si>
    <t>ssp.res.ship.from.address.zip.code</t>
  </si>
  <si>
    <t>* The entity responsible for financial reimbursement if different from CustomerName
* Pass-through field in InsertOrUpdate</t>
  </si>
  <si>
    <t>ssp.res.bill.to</t>
  </si>
  <si>
    <t>* Bill to Address Field 1
* Preferably match "Cust/Supp_Address-Descriptor" in HUB spec, but need not match
* In InsertOrUpdate persisted if presented, otherwise will use the previous value</t>
  </si>
  <si>
    <t>ssp.res.bill.to.address.descriptor</t>
  </si>
  <si>
    <t>* Bill to Address Field 2
* Preferably match "Cust/Supp_Address-Address1" in HUB spec but need not match
* In InsertOrUpdate persisted if presented, otherwise will use the previous value</t>
  </si>
  <si>
    <t>ssp.res.bill.to.address1</t>
  </si>
  <si>
    <t>* Bill to Address Field 3
* Preferably match "Cust/Supp_Address-Address2" in HUB spec, but need not match
* In InsertOrUpdate persisted if presented, otherwise will use the previous value</t>
  </si>
  <si>
    <t>ssp.res.bill.to.address2</t>
  </si>
  <si>
    <t>* Bill to Address Field 4
* Preferably match "Cust/Supp_Address-Address3" in HUB spec, but need not match
* In InsertOrUpdate persisted if presented, otherwise will use the previous value</t>
  </si>
  <si>
    <t>ssp.res.bill.to.address3</t>
  </si>
  <si>
    <t>BillToAddress4</t>
  </si>
  <si>
    <t>Bill To Address 4</t>
  </si>
  <si>
    <t>* Bill to Address Field 5
* Preferably match "Cust/Supp_Address-Address4" in HUB spec, but need not match
* In InsertOrUpdate persisted if presented, otherwise will use the previous value</t>
  </si>
  <si>
    <t>ssp.res.bill.to.address4</t>
  </si>
  <si>
    <t>BillToAddress5</t>
  </si>
  <si>
    <t>Bill To Address 5</t>
  </si>
  <si>
    <t>* Bill to Address Field 6
* Preferably match "Cust/Supp_Address-Address5" in HUB spec, but need not match
* In InsertOrUpdate persisted if presented, otherwise will use the previous value</t>
  </si>
  <si>
    <t>ssp.res.bill.to.address5</t>
  </si>
  <si>
    <t>* Bill to Address Field 7
* Preferably match "Cust/Supp_Address-City" in HUB spec, but need not match
* In InsertOrUpdate persisted if presented, otherwise will use the previous value</t>
  </si>
  <si>
    <t>ssp.res.bill.to.address.city</t>
  </si>
  <si>
    <t>BillToAddressCounty</t>
  </si>
  <si>
    <t>Bill To County</t>
  </si>
  <si>
    <t>* Bill to Address Field 8
* Preferably match "Cust/Supp_Address-County" in HUB spec, but need not match
* In InsertOrUpdate persisted if presented, otherwise will use the previous value</t>
  </si>
  <si>
    <t>ssp.res.bill.to.address.county</t>
  </si>
  <si>
    <t>* Bill to Address Field 9
* Preferably match "Cust/Supp_Address-State" in HUB spec, but need not match
* In InsertOrUpdate persisted if presented, otherwise will use the previous value</t>
  </si>
  <si>
    <t>ssp.res.bill.to.address.state</t>
  </si>
  <si>
    <t>* Bill to Address Field 10
* Preferably match "Cust/Supp_Address-Country" in HUB spec, but need not match
* In InsertOrUpdate persisted if presented, otherwise will use the previous value</t>
  </si>
  <si>
    <t>ssp.res.bill.to.address.country</t>
  </si>
  <si>
    <t>* Bill to Address Field 11
* Preferably match "Cust/Supp_Address-Zip" in HUB spec, but need not match
* In InsertOrUpdate persisted if presented, otherwise will use the previous value</t>
  </si>
  <si>
    <t>ssp.res.bill.to.address.zip.code</t>
  </si>
  <si>
    <t>BookingPartyName</t>
  </si>
  <si>
    <t>Booking Party Name</t>
  </si>
  <si>
    <t>ssp.res.booking.party.name</t>
  </si>
  <si>
    <t>BookingPartyDUNS</t>
  </si>
  <si>
    <t>Booking Party DUNS</t>
  </si>
  <si>
    <t>* Booking Party DUNS number
* Pass-through field in InsertOrUpdate
* Preferably match the "DUNS" in the HUB spec, but need not match
* Used for B2B Integration</t>
  </si>
  <si>
    <t>ssp.res.booking.party.duns</t>
  </si>
  <si>
    <t>BookingPartyAddressDescriptor</t>
  </si>
  <si>
    <t>Booking Party Address - Descriptor</t>
  </si>
  <si>
    <t>* Booking Party Address Field 1
* Preferably match "Cust/Supp_Address-Descriptor" in HUB spec, but need not match
* In InsertOrUpdate persisted if presented, otherwise will use the previous value</t>
  </si>
  <si>
    <t>ssp.res.booking.party.address.descriptor</t>
  </si>
  <si>
    <t>BookingPartyAddress1</t>
  </si>
  <si>
    <t>Booking Party Address 1</t>
  </si>
  <si>
    <t>* Booking Party Address Field 2
* Preferably match "Cust/Supp_Address-Address1" in HUB spec but need not match
* In InsertOrUpdate persisted if presented, otherwise will use the previous value</t>
  </si>
  <si>
    <t>ssp.res.booking.party.address1</t>
  </si>
  <si>
    <t>BookingPartyAddress2</t>
  </si>
  <si>
    <t>Booking Party Address 2</t>
  </si>
  <si>
    <t>* Booking Party Address Field 3
* Preferably match "Cust/Supp_Address-Address2" in HUB spec, but need not match
* In InsertOrUpdate persisted if presented, otherwise will use the previous value</t>
  </si>
  <si>
    <t>ssp.res.booking.party.address2</t>
  </si>
  <si>
    <t>BookingPartyAddress3</t>
  </si>
  <si>
    <t>Booking Party Address 3</t>
  </si>
  <si>
    <t>* Booking Party Address Field 4
* Preferably match "Cust/Supp_Address-Address3" in HUB spec, but need not match
* In InsertOrUpdate persisted if presented, otherwise will use the previous value</t>
  </si>
  <si>
    <t>ssp.res.booking.party.address3</t>
  </si>
  <si>
    <t>BookingPartyAddress4</t>
  </si>
  <si>
    <t>Booking Party Address 4</t>
  </si>
  <si>
    <t>* Booking Party Address Field 5
* Preferably match "Cust/Supp_Address-Address4" in HUB spec, but need not match
* In InsertOrUpdate persisted if presented, otherwise will use the previous value</t>
  </si>
  <si>
    <t>ssp.res.booking.party.address4</t>
  </si>
  <si>
    <t>BookingPartyAddress5</t>
  </si>
  <si>
    <t>Booking Party Address 5</t>
  </si>
  <si>
    <t>* Booking Party Address Field 6
* Preferably match "Cust/Supp_Address-Address5" in HUB spec, but need not match
* In InsertOrUpdate persisted if presented, otherwise will use the previous value</t>
  </si>
  <si>
    <t>ssp.res.booking.party.address5</t>
  </si>
  <si>
    <t>BookingPartyAddressCity</t>
  </si>
  <si>
    <t>Booking Party City</t>
  </si>
  <si>
    <t>* Booking Party Address Field 7
* Preferably match "Cust/Supp_Address-City" in HUB spec, but need not match
* In InsertOrUpdate persisted if presented, otherwise will use the previous value</t>
  </si>
  <si>
    <t>ssp.res.booking.party.city</t>
  </si>
  <si>
    <t>BookingPartyAddressCounty</t>
  </si>
  <si>
    <t>Booking Party County</t>
  </si>
  <si>
    <t>* Booking Party Address Field 8
* Preferably match "Cust/Supp_Address-County" in HUB spec, but need not match
* In InsertOrUpdate persisted if presented, otherwise will use the previous value</t>
  </si>
  <si>
    <t>ssp.res.booking.party.county</t>
  </si>
  <si>
    <t>BookingPartyAddressState</t>
  </si>
  <si>
    <t>Booking Party State</t>
  </si>
  <si>
    <t>* Booking Party Address Field 9
* Preferably match "Cust/Supp_Address-State" in HUB spec, but need not match
* In InsertOrUpdate persisted if presented, otherwise will use the previous value</t>
  </si>
  <si>
    <t>ssp.res.booking.party.state</t>
  </si>
  <si>
    <t>BookingPartyAddressCountry</t>
  </si>
  <si>
    <t>Booking Party Country</t>
  </si>
  <si>
    <t>* Booking Party Address Field 10
* Preferably match "Cust/Supp_Address-Country" in HUB spec, but need not match
* In InsertOrUpdate persisted if presented, otherwise will use the previous value</t>
  </si>
  <si>
    <t>ssp.res.booking.party.country</t>
  </si>
  <si>
    <t>* Booking Party Address Field 11
* Preferably match "Cust/Supp_Address-Zip" in HUB spec, but need not match
* In InsertOrUpdate persisted if presented, otherwise will use the previous value</t>
  </si>
  <si>
    <t>ssp.res.booking.party.zip</t>
  </si>
  <si>
    <t>FlexAttrStringHeader1</t>
  </si>
  <si>
    <t>Flex String ASN Header 1</t>
  </si>
  <si>
    <t>* Project level configurable field for the allowed string length
* Preconfigured to be updated in InsertOrUpdate</t>
  </si>
  <si>
    <t>ssp.res.flex.attr.asn.header.string1</t>
  </si>
  <si>
    <t>FlexAttrStringHeader2</t>
  </si>
  <si>
    <t>Flex String ASN Header 2</t>
  </si>
  <si>
    <t>ssp.res.flex.attr.asn.header.string2</t>
  </si>
  <si>
    <t>FlexAttrStringHeader3</t>
  </si>
  <si>
    <t>Flex String ASN Header 3</t>
  </si>
  <si>
    <t>ssp.res.flex.attr.asn.header.string3</t>
  </si>
  <si>
    <t>FlexAttrStringHeader4</t>
  </si>
  <si>
    <t>Flex String ASN Header 4</t>
  </si>
  <si>
    <t>String(128)</t>
  </si>
  <si>
    <t>ssp.res.flex.attr.asn.header.string4</t>
  </si>
  <si>
    <t>VARCHAR(128)</t>
  </si>
  <si>
    <t>FlexAttrStringHeader5</t>
  </si>
  <si>
    <t>Flex String ASN Header 5</t>
  </si>
  <si>
    <t>ssp.res.flex.attr.asn.header.string5</t>
  </si>
  <si>
    <t>FlexAttrStringHeader6</t>
  </si>
  <si>
    <t>Flex String ASN Header 6</t>
  </si>
  <si>
    <t>ssp.res.flex.attr.asn.header.string6</t>
  </si>
  <si>
    <t>FlexAttrStringHeader7</t>
  </si>
  <si>
    <t>Flex String ASN Header 7</t>
  </si>
  <si>
    <t>ssp.res.flex.attr.asn.header.string7</t>
  </si>
  <si>
    <t>FlexAttrStringHeader8</t>
  </si>
  <si>
    <t>Flex String ASN Header 8</t>
  </si>
  <si>
    <t>ssp.res.flex.attr.asn.header.string8</t>
  </si>
  <si>
    <t>FlexAttrStringHeader9</t>
  </si>
  <si>
    <t>Flex String ASN Header 9</t>
  </si>
  <si>
    <t>ssp.res.flex.attr.asn.header.string9</t>
  </si>
  <si>
    <t>FlexAttrIntHeader1</t>
  </si>
  <si>
    <t>Flex Int ASN Header 1</t>
  </si>
  <si>
    <t>* Project level configurable field for the allowed integer field
* Preconfigured to be updated in InsertOrUpdate</t>
  </si>
  <si>
    <t>ssp.res.flex.attr.asn.header.int1</t>
  </si>
  <si>
    <t>FlexAttrIntHeader2</t>
  </si>
  <si>
    <t>Flex Int ASN Header 2</t>
  </si>
  <si>
    <t>ssp.res.flex.attr.asn.header.int2</t>
  </si>
  <si>
    <t>FlexAttrIntHeader3</t>
  </si>
  <si>
    <t>Flex Int ASN Header 3</t>
  </si>
  <si>
    <t>ssp.res.flex.attr.asn.header.int3</t>
  </si>
  <si>
    <t>FlexAttrIntHeader4</t>
  </si>
  <si>
    <t>Flex Int ASN Header 4</t>
  </si>
  <si>
    <t>ssp.res.flex.attr.asn.header.int4</t>
  </si>
  <si>
    <t>FlexAttrIntHeader5</t>
  </si>
  <si>
    <t>Flex Int ASN Header 5</t>
  </si>
  <si>
    <t>ssp.res.flex.attr.asn.header.int5</t>
  </si>
  <si>
    <t>FlexAttrFloatHeader1</t>
  </si>
  <si>
    <t>Flex Float ASN Header 1</t>
  </si>
  <si>
    <t>* Project level configurable float field
* Preconfigured to be updated in InsertOrUpdate</t>
  </si>
  <si>
    <t>Float(126)</t>
  </si>
  <si>
    <t>ssp.res.flex.attr.asn.header.float1</t>
  </si>
  <si>
    <t>FlexAttrFloatHeader2</t>
  </si>
  <si>
    <t>Flex Float ASN Header 2</t>
  </si>
  <si>
    <t>ssp.res.flex.attr.asn.header.float2</t>
  </si>
  <si>
    <t>FlexAttrFloatHeader3</t>
  </si>
  <si>
    <t>Flex Float ASN Header 3</t>
  </si>
  <si>
    <t>ssp.res.flex.attr.asn.header.float3</t>
  </si>
  <si>
    <t>FlexAttrFloatHeader4</t>
  </si>
  <si>
    <t>Flex Float ASN Header 4</t>
  </si>
  <si>
    <t>ssp.res.flex.attr.asn.header.float4</t>
  </si>
  <si>
    <t>FlexAttrFloatHeader5</t>
  </si>
  <si>
    <t>Flex Float ASN Header 5</t>
  </si>
  <si>
    <t>ssp.res.flex.attr.asn.header.float5</t>
  </si>
  <si>
    <t>FlexAttrDateHeader1</t>
  </si>
  <si>
    <t>Flex Date ASN Header 1</t>
  </si>
  <si>
    <t>* Project level configurable date field
* Preconfigured to be updated in InsertOrUpdate</t>
  </si>
  <si>
    <t>ssp.res.flex.attr.asn.header.date1</t>
  </si>
  <si>
    <t>FlexAttrDateHeader2</t>
  </si>
  <si>
    <t>Flex Date ASN Header 2</t>
  </si>
  <si>
    <t>ssp.res.flex.attr.asn.header.date2</t>
  </si>
  <si>
    <t>FlexAttrDateHeader3</t>
  </si>
  <si>
    <t>Flex Date ASN Header 3</t>
  </si>
  <si>
    <t>ssp.res.flex.attr.asn.header.date3</t>
  </si>
  <si>
    <t>FlexAttrDateHeader4</t>
  </si>
  <si>
    <t>Flex Date ASN Header 4</t>
  </si>
  <si>
    <t>ssp.res.flex.attr.asn.header.date4</t>
  </si>
  <si>
    <t>FlexAttrDateHeader5</t>
  </si>
  <si>
    <t>Flex Date ASN Header 5</t>
  </si>
  <si>
    <t>ssp.res.flex.attr.asn.header.date5</t>
  </si>
  <si>
    <t>* Shipment Line Item Id
* Key integer field established in Shipment Line creation by InsertOrUpdate
* Change in value is unpermitted</t>
  </si>
  <si>
    <t>ssp.res.shipment.line.item.id</t>
  </si>
  <si>
    <t xml:space="preserve">* Status based on underlying Shipment Line actions and state change
* SCPM server computed. If presented as non-empty in upload then an empty value is sent to the SCPM server and computed in SCPM server.
* Download-only field, to be presented as empty in all uploads. </t>
  </si>
  <si>
    <t>ssp.res.shipment.line.status</t>
  </si>
  <si>
    <t>&lt;%AsnLineItem.LineItemState%&gt;</t>
  </si>
  <si>
    <t>* The Action to be performed from the inbound data for each Shipment Line sent independently to the SCPM server in the upload
* Strictly restricts the values to be one of the following: InsertOrUpdate,SuppUpdate,CarrierUpdate,Deliver,Cancel
where InsertOrUpdate is the main customer B2B Action
* In the downloads for this mapping spec an empty value is returned
* The field only appears in the audit trail in the Web UI</t>
  </si>
  <si>
    <t>enum=(InsertOrUpdate|SuppUpdate|CarrierUpdate|Deliver|Cancel)</t>
  </si>
  <si>
    <t>ssp.res.shipment.action</t>
  </si>
  <si>
    <t>hard code "$null"</t>
  </si>
  <si>
    <t>CustomerItemName</t>
  </si>
  <si>
    <t>Customer Item ID</t>
  </si>
  <si>
    <t>* The Customer Item for the Referenced Order Line Item
* Should match the "ERP_Customer_Item" in the PURCHASED ITEMS spec 
* Key field established and validated in Purchase Order Line creation by InsertOrUpdate
* Change in value is unpermitted</t>
  </si>
  <si>
    <t>regex="${ssp.regex.validation.erp.customer.item}"</t>
  </si>
  <si>
    <t>ssp.res.erp.customer.item</t>
  </si>
  <si>
    <t>groovy=
return (input[index(&lt;%AsnLineItem.PdfString12%&gt;)] == '$null') ? input[index(&lt;%AsnLineItem.CustomerItemName%&gt;)] : input[index(&lt;%AsnLineItem.PdfString12%&gt;)]</t>
  </si>
  <si>
    <t>CustomerItemDescription</t>
  </si>
  <si>
    <t>Customer Item Description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</si>
  <si>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</si>
  <si>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</si>
  <si>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groovy=
return (input[index(&lt;%AsnLineItem.PdfString13%&gt;)] == '$null') ? input[index(&lt;%AsnLineItem.CustomerItemDesc%&gt;)] : input[index(&lt;%AsnLineItem.PdfString13%&gt;)]</t>
  </si>
  <si>
    <t>Supplier Item ID</t>
  </si>
  <si>
    <t>* The Supplier Item for the Referenced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</si>
  <si>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regex="${ssp.regex.validation.erp.supplier.item}"</t>
  </si>
  <si>
    <t>ssp.res.erp.supplier.item</t>
  </si>
  <si>
    <t>Supplier Item Description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</si>
  <si>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</si>
  <si>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</si>
  <si>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BuyerCode</t>
  </si>
  <si>
    <t>Buyer Code</t>
  </si>
  <si>
    <t>* ERP Buyer Code for the Referenced Order
* In InsertOrUpdate value persisted if not empty
* Searchable field in the Web UI by default
* Can be used to constain permissiblity for roles</t>
  </si>
  <si>
    <t>ssp.res.buyer.code</t>
  </si>
  <si>
    <t>* The ERP Shipped Quantity for the Referenced Order
* The values allowed must be &gt; 0
* Update only allowed in InsertOrUpdate</t>
  </si>
  <si>
    <t>ssp.res.shipped.quantity</t>
  </si>
  <si>
    <t>* The Unit of Measure for the price basis based on UnitPrice for the Shipment Line Item
* Pass-through field in InsertOrUpdate 
* Shown in the Order detail page in SCPM</t>
  </si>
  <si>
    <t>ssp.res.unit.of.measure</t>
  </si>
  <si>
    <t>* Freight cost is the the price incurred to ship your goods.
* Pass-through field in InsertOrUpdate.</t>
  </si>
  <si>
    <t>ssp.res.freight.cost</t>
  </si>
  <si>
    <t>* The item Currency stored at the Referenced Order Schedule level
* Logically same as the steps in UnitPrice search</t>
  </si>
  <si>
    <t>ssp.res.currency</t>
  </si>
  <si>
    <t>PackingSlipNumberLine</t>
  </si>
  <si>
    <t>Packing Slip # (Line)</t>
  </si>
  <si>
    <t>* The number referenced the packing slip on the Shipment Line.
* Shipping document that serves as a record of the content in the shipment.
* Pass-through field in InsertOrUpdate.</t>
  </si>
  <si>
    <t>ssp.res.packing.slip.number.line</t>
  </si>
  <si>
    <t>LineNotesToCustomer</t>
  </si>
  <si>
    <t>Notes To Customer</t>
  </si>
  <si>
    <t>* Supplier notes to Customer for the Referenced Order Line Item
* Pass-through field in supplier actions
* Shown in the Web UI</t>
  </si>
  <si>
    <t>ssp.res.lines.notes.to.customer</t>
  </si>
  <si>
    <t>* Amount of shipped goods in boxes unit
* Pass-through field in InsertOrUpdate.</t>
  </si>
  <si>
    <t>ssp.res.number.of.boxes</t>
  </si>
  <si>
    <t>Weight</t>
  </si>
  <si>
    <t>* Weight of shipped goods.
* Pass-through field in InsertOrUpdate.</t>
  </si>
  <si>
    <t>ssp.res.weight</t>
  </si>
  <si>
    <t>* The Harmonized Tariff Schedule commodity code is a 10-digit field that is specific to the United States. 
* Commodity duties are assessed based on this classification.
* Pass-through field in InsertOrUpdate.</t>
  </si>
  <si>
    <t>ssp.res.commodity.hts6</t>
  </si>
  <si>
    <t>* The entity name responsible for manufacturing goods in the Shipment.
* Pass-through field in InsertOrUpdate</t>
  </si>
  <si>
    <t>ssp.res.manufacturer.name</t>
  </si>
  <si>
    <t>ManufacturerDUNS</t>
  </si>
  <si>
    <t>Manufacturer DUNS</t>
  </si>
  <si>
    <t>* Manufacturer DUNS number
* Pass-through field in InsertOrUpdate
* Preferably match the "DUNS" in the HUB spec, but need not match
* Used for B2B Integration</t>
  </si>
  <si>
    <t>ssp.res.manufacturer.duns</t>
  </si>
  <si>
    <t>* Manufacturer Address Field 1
* Preferably match "Cust/Supp_Address-Descriptor" in HUB spec, but need not match
* In InsertOrUpdate persisted if presented, otherwise will use the previous value</t>
  </si>
  <si>
    <t>ssp.res.manufacturer.address.descriptor</t>
  </si>
  <si>
    <t>* Manufacturer Address Field 2
* Preferably match "Cust/Supp_Address-Address1" in HUB spec but need not match
* In InsertOrUpdate persisted if presented, otherwise will use the previous value</t>
  </si>
  <si>
    <t>ssp.res.manufacturer.address1</t>
  </si>
  <si>
    <t>* Manufacturer Address Field 3
* Preferably match "Cust/Supp_Address-Address2" in HUB spec, but need not match
* In InsertOrUpdate persisted if presented, otherwise will use the previous value</t>
  </si>
  <si>
    <t>ssp.res.manufacturer.address2</t>
  </si>
  <si>
    <t>* Manufacturer Address Field 4
* Preferably match "Cust/Supp_Address-Address3" in HUB spec, but need not match
* In InsertOrUpdate persisted if presented, otherwise will use the previous value</t>
  </si>
  <si>
    <t>ssp.res.manufacturer.address3</t>
  </si>
  <si>
    <t>ManufacturerAddress4</t>
  </si>
  <si>
    <t>Manufacturer Address 4</t>
  </si>
  <si>
    <t>* Manufacturer Address Field 5
* Preferably match "Cust/Supp_Address-Address4" in HUB spec, but need not match
* In InsertOrUpdate persisted if presented, otherwise will use the previous value</t>
  </si>
  <si>
    <t>ssp.res.manufacturer.address4</t>
  </si>
  <si>
    <t>ManufacturerAddress5</t>
  </si>
  <si>
    <t>Manufacturer Address 5</t>
  </si>
  <si>
    <t>* Manufacturer Address Field 6
* Preferably match "Cust/Supp_Address-Address5" in HUB spec, but need not match
* In InsertOrUpdate persisted if presented, otherwise will use the previous value</t>
  </si>
  <si>
    <t>ssp.res.manufacturer.address5</t>
  </si>
  <si>
    <t>* Manufacturer Address Field 7
* Preferably match "Cust/Supp_Address-City" in HUB spec, but need not match
* In InsertOrUpdate persisted if presented, otherwise will use the previous value</t>
  </si>
  <si>
    <t>ssp.res.manufacturer.address.city</t>
  </si>
  <si>
    <t>ManufacturerAddressCounty</t>
  </si>
  <si>
    <t>Manufacturer County</t>
  </si>
  <si>
    <t>* Manufacturer Address Field 8
* Preferably match "Cust/Supp_Address-County" in HUB spec, but need not match
* In InsertOrUpdate persisted if presented, otherwise will use the previous value</t>
  </si>
  <si>
    <t>ssp.res.manufacturer.address.county</t>
  </si>
  <si>
    <t>* Manufacturer Address Field 9
* Preferably match "Cust/Supp_Address-State" in HUB spec, but need not match
* In InsertOrUpdate persisted if presented, otherwise will use the previous value</t>
  </si>
  <si>
    <t>ssp.res.manufacturer.address.state</t>
  </si>
  <si>
    <t>* Manufacturer Address Field 10
* Preferably match "Cust/Supp_Address-Country" in HUB spec, but need not match
* In InsertOrUpdate persisted if presented, otherwise will use the previous value</t>
  </si>
  <si>
    <t>ssp.res.manufacturer.address.country</t>
  </si>
  <si>
    <t>* Manufacturer Address Field 11
* Preferably match "Cust/Supp_Address-Zip" in HUB spec, but need not match
* In InsertOrUpdate persisted if presented, otherwise will use the previous value</t>
  </si>
  <si>
    <t>ssp.res.manufacturer.address.zip</t>
  </si>
  <si>
    <t>ContainerStuffingLocationName</t>
  </si>
  <si>
    <t>Container Stuffing Location Name</t>
  </si>
  <si>
    <t>* The entity name responsible for loading goods into container(s) in the Shipment.
* Pass-through field in InsertOrUpdate</t>
  </si>
  <si>
    <t>ssp.res.container.stuffing.location.name</t>
  </si>
  <si>
    <t>ContainerStuffingLocationDUNS</t>
  </si>
  <si>
    <t>Container Stuffing Location DUNS</t>
  </si>
  <si>
    <t>* Container Stuffing Location DUNS number
* Pass-through field in InsertOrUpdate
* Preferably match the "DUNS" in the HUB spec, but need not match
* Used for B2B Integration</t>
  </si>
  <si>
    <t>ssp.res.container.stuffing.location.duns</t>
  </si>
  <si>
    <t>ContainerStuffingLocationAddressDescriptor</t>
  </si>
  <si>
    <t>Container Stuffing Location Address - Descriptor</t>
  </si>
  <si>
    <t>* Container Stuffing Location Address Field 1
* Preferably match "Cust/Supp_Address-Descriptor" in HUB spec, but need not match
* In InsertOrUpdate persisted if presented, otherwise will use the previous value</t>
  </si>
  <si>
    <t>ssp.res.container.stuffing.location.address.descriptor</t>
  </si>
  <si>
    <t>ContainerStuffingLocationAddress1</t>
  </si>
  <si>
    <t>Container Stuffing Location Address 1</t>
  </si>
  <si>
    <t>* Container Stuffing Location Address Field 2
* Preferably match "Cust/Supp_Address-Address1" in HUB spec but need not match
* In InsertOrUpdate persisted if presented, otherwise will use the previous value</t>
  </si>
  <si>
    <t>ssp.res.container.stuffing.location.address1</t>
  </si>
  <si>
    <t>ContainerStuffingLocationAddress2</t>
  </si>
  <si>
    <t>Container Stuffing Location Address 2</t>
  </si>
  <si>
    <t>* Container Stuffing Location Address Field 3
* Preferably match "Cust/Supp_Address-Address2" in HUB spec, but need not match
* In InsertOrUpdate persisted if presented, otherwise will use the previous value</t>
  </si>
  <si>
    <t>ssp.res.container.stuffing.location.address2</t>
  </si>
  <si>
    <t>ContainerStuffingLocationAddress3</t>
  </si>
  <si>
    <t>Container Stuffing Location Address 3</t>
  </si>
  <si>
    <t>* Container Stuffing Location Address Field 4
* Preferably match "Cust/Supp_Address-Address3" in HUB spec, but need not match
* In InsertOrUpdate persisted if presented, otherwise will use the previous value</t>
  </si>
  <si>
    <t>ssp.res.container.stuffing.location.address3</t>
  </si>
  <si>
    <t>ContainerStuffingLocationAddress4</t>
  </si>
  <si>
    <t>Container Stuffing Location Address 4</t>
  </si>
  <si>
    <t>* Container Stuffing Location Address Field 5
* Preferably match "Cust/Supp_Address-Address4" in HUB spec, but need not match
* In InsertOrUpdate persisted if presented, otherwise will use the previous value</t>
  </si>
  <si>
    <t>ssp.res.container.stuffing.location.address4</t>
  </si>
  <si>
    <t>ContainerStuffingLocationAddress5</t>
  </si>
  <si>
    <t>Container Stuffing Location Address 5</t>
  </si>
  <si>
    <t>* Container Stuffing Location Address Field 6
* Preferably match "Cust/Supp_Address-Address5" in HUB spec, but need not match
* In InsertOrUpdate persisted if presented, otherwise will use the previous value</t>
  </si>
  <si>
    <t>ssp.res.container.stuffing.location.address5</t>
  </si>
  <si>
    <t>ContainerStuffingLocationAddressCity</t>
  </si>
  <si>
    <t>Container Stuffing Location City</t>
  </si>
  <si>
    <t>* Container Stuffing Location Address Field 7
* Preferably match "Cust/Supp_Address-City" in HUB spec, but need not match
* In InsertOrUpdate persisted if presented, otherwise will use the previous value</t>
  </si>
  <si>
    <t>ssp.res.container.stuffing.location.address.city</t>
  </si>
  <si>
    <t>ContainerStuffingLocationAddressCounty</t>
  </si>
  <si>
    <t>Container Stuffing Location County</t>
  </si>
  <si>
    <t>* Container Stuffing Location Address Field 8
* Preferably match "Cust/Supp_Address-County" in HUB spec, but need not match
* In InsertOrUpdate persisted if presented, otherwise will use the previous value</t>
  </si>
  <si>
    <t>ssp.res.container.stuffing.location.address.county</t>
  </si>
  <si>
    <t>ContainerStuffingLocationAddressState</t>
  </si>
  <si>
    <t>Container Stuffing Location State</t>
  </si>
  <si>
    <t>* Container Stuffing Location Address Field 9
* Preferably match "Cust/Supp_Address-State" in HUB spec, but need not match
* In InsertOrUpdate persisted if presented, otherwise will use the previous value</t>
  </si>
  <si>
    <t>ssp.res.container.stuffing.location.address.state</t>
  </si>
  <si>
    <t>ContainerStuffingLocationAddressCountry</t>
  </si>
  <si>
    <t>Container Stuffing Location Country</t>
  </si>
  <si>
    <t>* Container Stuffing Location Address Field 10
* Preferably match "Cust/Supp_Address-Country" in HUB spec, but need not match
* In InsertOrUpdate persisted if presented, otherwise will use the previous value</t>
  </si>
  <si>
    <t>ssp.res.container.stuffing.location.address.country</t>
  </si>
  <si>
    <t>ContainerStuffingLocationAddressZip</t>
  </si>
  <si>
    <t>Container Stuffing Location  Zip</t>
  </si>
  <si>
    <t>* Container Stuffing Location Address Field 11
* Preferably match "Cust/Supp_Address-Zip" in HUB spec, but need not match
* In InsertOrUpdate persisted if presented, otherwise will use the previous value</t>
  </si>
  <si>
    <t>ssp.res.container.stuffing.location.address.zip</t>
  </si>
  <si>
    <t>ConsolidatorName</t>
  </si>
  <si>
    <t>Consolidator Name</t>
  </si>
  <si>
    <t>* The entity name responsible for consolidating goods in the Shipment.
* Pass-through field in InsertOrUpdate</t>
  </si>
  <si>
    <t>ssp.res.consolidator.name</t>
  </si>
  <si>
    <t>ConsolidatorDUNS</t>
  </si>
  <si>
    <t>Consolidator DUNS</t>
  </si>
  <si>
    <t>* Consolidator DUNS number
* Pass-through field in InsertOrUpdate
* Preferably match the "DUNS" in the HUB spec, but need not match
* Used for B2B Integration</t>
  </si>
  <si>
    <t>ssp.res.consolidator.duns</t>
  </si>
  <si>
    <t>ConsolidatorAddressDescriptor</t>
  </si>
  <si>
    <t>Consolidator Address - Descriptor</t>
  </si>
  <si>
    <t>* Consolidator Address Field 1
* Preferably match "Cust/Supp_Address-Descriptor" in HUB spec, but need not match
* In InsertOrUpdate persisted if presented, otherwise will use the previous value</t>
  </si>
  <si>
    <t>ssp.res.consolidator.address.descriptor</t>
  </si>
  <si>
    <t>ConsolidatorAddress1</t>
  </si>
  <si>
    <t>Consolidator Address 1</t>
  </si>
  <si>
    <t>* Consolidator Address Field 2
* Preferably match "Cust/Supp_Address-Address1" in HUB spec but need not match
* In InsertOrUpdate persisted if presented, otherwise will use the previous value</t>
  </si>
  <si>
    <t>ssp.res.consolidator.address1</t>
  </si>
  <si>
    <t>ConsolidatorAddress2</t>
  </si>
  <si>
    <t>Consolidator Address 2</t>
  </si>
  <si>
    <t>* Consolidator Address Field 3
* Preferably match "Cust/Supp_Address-Address2" in HUB spec, but need not match
* In InsertOrUpdate persisted if presented, otherwise will use the previous value</t>
  </si>
  <si>
    <t>ssp.res.consolidator.address2</t>
  </si>
  <si>
    <t>ConsolidatorAddress3</t>
  </si>
  <si>
    <t>Consolidator Address 3</t>
  </si>
  <si>
    <t>* Consolidator Address Field 4
* Preferably match "Cust/Supp_Address-Address3" in HUB spec, but need not match
* In InsertOrUpdate persisted if presented, otherwise will use the previous value</t>
  </si>
  <si>
    <t>ssp.res.consolidator.address3</t>
  </si>
  <si>
    <t>ConsolidatorAddress4</t>
  </si>
  <si>
    <t>Consolidator Address 4</t>
  </si>
  <si>
    <t>* Consolidator Address Field 5
* Preferably match "Cust/Supp_Address-Address4" in HUB spec, but need not match
* In InsertOrUpdate persisted if presented, otherwise will use the previous value</t>
  </si>
  <si>
    <t>ssp.res.consolidator.address4</t>
  </si>
  <si>
    <t>ConsolidatorAddress5</t>
  </si>
  <si>
    <t>Consolidator Address 5</t>
  </si>
  <si>
    <t>* Consolidator Address Field 6
* Preferably match "Cust/Supp_Address-Address5" in HUB spec, but need not match
* In InsertOrUpdate persisted if presented, otherwise will use the previous value</t>
  </si>
  <si>
    <t>ssp.res.consolidator.address5</t>
  </si>
  <si>
    <t>ConsolidatorAddressCity</t>
  </si>
  <si>
    <t>Consolidator City</t>
  </si>
  <si>
    <t>* Consolidator Address Field 7
* Preferably match "Cust/Supp_Address-City" in HUB spec, but need not match
* In InsertOrUpdate persisted if presented, otherwise will use the previous value</t>
  </si>
  <si>
    <t>ssp.res.consolidator.address.city</t>
  </si>
  <si>
    <t>ConsolidatorAddressCounty</t>
  </si>
  <si>
    <t>Consolidator County</t>
  </si>
  <si>
    <t>* Consolidator Address Field 8
* Preferably match "Cust/Supp_Address-County" in HUB spec, but need not match
* In InsertOrUpdate persisted if presented, otherwise will use the previous value</t>
  </si>
  <si>
    <t>ssp.res.consolidator.address.county</t>
  </si>
  <si>
    <t>ConsolidatorAddressState</t>
  </si>
  <si>
    <t>Consolidator State</t>
  </si>
  <si>
    <t>* Consolidator Address Field 9
* Preferably match "Cust/Supp_Address-State" in HUB spec, but need not match
* In InsertOrUpdate persisted if presented, otherwise will use the previous value</t>
  </si>
  <si>
    <t>ssp.res.consolidator.address.state</t>
  </si>
  <si>
    <t>ConsolidatorAddressCountry</t>
  </si>
  <si>
    <t>Consolidator Country</t>
  </si>
  <si>
    <t>* Consolidator Address Field 10
* Preferably match "Cust/Supp_Address-Country" in HUB spec, but need not match
* In InsertOrUpdate persisted if presented, otherwise will use the previous value</t>
  </si>
  <si>
    <t>ssp.res.consolidator.address.country</t>
  </si>
  <si>
    <t>ConsolidatorAddressZip</t>
  </si>
  <si>
    <t>Consolidator Zip</t>
  </si>
  <si>
    <t>* Consolidator Address Field 11
* Preferably match "Cust/Supp_Address-Zip" in HUB spec, but need not match
* In InsertOrUpdate persisted if presented, otherwise will use the previous value</t>
  </si>
  <si>
    <t>ssp.res.consolidator.address.zip</t>
  </si>
  <si>
    <t>RefdOrderCustomer</t>
  </si>
  <si>
    <t>Ref Customer ID</t>
  </si>
  <si>
    <t>* Referenced parent Order Customer Name</t>
  </si>
  <si>
    <t>ssp.res.refd.order.customer</t>
  </si>
  <si>
    <t>RefdOrderSupplier</t>
  </si>
  <si>
    <t>Ref Supplier ID</t>
  </si>
  <si>
    <t>* Referenced parent Order Supplier Name</t>
  </si>
  <si>
    <t>ssp.res.refd.order.supplier</t>
  </si>
  <si>
    <t>* Referenced parent Order Type</t>
  </si>
  <si>
    <t>enum=(BlanketOrder|Pull|MultiSrcPull|GenericOrder|BlanketRelease|DiscreteOrder|CustomerOrder|SchedAgreement)</t>
  </si>
  <si>
    <t>ssp.res.refd.order.type</t>
  </si>
  <si>
    <t>* Referenced parent Order Number</t>
  </si>
  <si>
    <t>ssp.res.refd.order.number</t>
  </si>
  <si>
    <t>* Referenced parent Order Line Item Id</t>
  </si>
  <si>
    <t>Integer(19)</t>
  </si>
  <si>
    <t>ssp.res.refd.order.line.id</t>
  </si>
  <si>
    <t>NUMBER(19)</t>
  </si>
  <si>
    <t>* Referenced parent Order Schedule Id</t>
  </si>
  <si>
    <t>ssp.res.refd.order.schedule.id</t>
  </si>
  <si>
    <t>&lt;%AsnLineItem.PoRequestScheduleId%&gt;</t>
  </si>
  <si>
    <t>* Referenced parent Order Promise Id</t>
  </si>
  <si>
    <t>ssp.res.refd.order.promise.id</t>
  </si>
  <si>
    <t>Flex String ASN Line 1</t>
  </si>
  <si>
    <t>ssp.res.flex.attr.asn.line.string1</t>
  </si>
  <si>
    <t>Flex String ASN Line 2</t>
  </si>
  <si>
    <t>ssp.res.flex.attr.asn.line.string2</t>
  </si>
  <si>
    <t>FlexAttrStringLine3</t>
  </si>
  <si>
    <t>Flex String ASN Line 3</t>
  </si>
  <si>
    <t>ssp.res.flex.attr.asn.line.string3</t>
  </si>
  <si>
    <t>FlexAttrStringLine4</t>
  </si>
  <si>
    <t>Flex String ASN Line 4</t>
  </si>
  <si>
    <t>ssp.res.flex.attr.asn.line.string4</t>
  </si>
  <si>
    <t>FlexAttrStringLine5</t>
  </si>
  <si>
    <t>Flex String ASN Line 5</t>
  </si>
  <si>
    <t>ssp.res.flex.attr.asn.line.string5</t>
  </si>
  <si>
    <t>FlexAttrStringLine6</t>
  </si>
  <si>
    <t>Flex String ASN Line 6</t>
  </si>
  <si>
    <t>ssp.res.flex.attr.asn.line.string6</t>
  </si>
  <si>
    <t>FlexAttrStringLine7</t>
  </si>
  <si>
    <t>Flex String ASN Line 7</t>
  </si>
  <si>
    <t>ssp.res.flex.attr.asn.line.string7</t>
  </si>
  <si>
    <t>FlexAttrStringLine8</t>
  </si>
  <si>
    <t>Flex String ASN Line 8</t>
  </si>
  <si>
    <t>ssp.res.flex.attr.asn.line.string8</t>
  </si>
  <si>
    <t>FlexAttrStringLine9</t>
  </si>
  <si>
    <t>Flex String ASN Line 9</t>
  </si>
  <si>
    <t>ssp.res.flex.attr.asn.line.string9</t>
  </si>
  <si>
    <t>FlexAttrIntLine1</t>
  </si>
  <si>
    <t>Flex Int ASN Line 1</t>
  </si>
  <si>
    <t>ssp.res.flex.attr.asn.line.int1</t>
  </si>
  <si>
    <t>FlexAttrIntLine2</t>
  </si>
  <si>
    <t>Flex Int ASN Line 2</t>
  </si>
  <si>
    <t>ssp.res.flex.attr.asn.line.int2</t>
  </si>
  <si>
    <t>FlexAttrIntLine3</t>
  </si>
  <si>
    <t>Flex Int ASN Line 3</t>
  </si>
  <si>
    <t>ssp.res.flex.attr.asn.line.int3</t>
  </si>
  <si>
    <t>FlexAttrIntLine4</t>
  </si>
  <si>
    <t>Flex Int ASN Line 4</t>
  </si>
  <si>
    <t>ssp.res.flex.attr.asn.line.int4</t>
  </si>
  <si>
    <t>FlexAttrIntLine5</t>
  </si>
  <si>
    <t>Flex Int ASN Line 5</t>
  </si>
  <si>
    <t>ssp.res.flex.attr.asn.line.int5</t>
  </si>
  <si>
    <t>FlexAttrFloatLine1</t>
  </si>
  <si>
    <t>Flex Float ASN Line 1</t>
  </si>
  <si>
    <t>ssp.res.flex.attr.asn.line.float1</t>
  </si>
  <si>
    <t>FlexAttrFloatLine2</t>
  </si>
  <si>
    <t>Flex Float ASN Line 2</t>
  </si>
  <si>
    <t>ssp.res.flex.attr.asn.line.float2</t>
  </si>
  <si>
    <t>FlexAttrFloatLine3</t>
  </si>
  <si>
    <t>Flex Float ASN Line 3</t>
  </si>
  <si>
    <t>ssp.res.flex.attr.asn.line.float3</t>
  </si>
  <si>
    <t>FlexAttrFloatLine4</t>
  </si>
  <si>
    <t>Flex Float ASN Line 4</t>
  </si>
  <si>
    <t>ssp.res.flex.attr.asn.line.float4</t>
  </si>
  <si>
    <t>FlexAttrFloatLine5</t>
  </si>
  <si>
    <t>Flex Float ASN Line 5</t>
  </si>
  <si>
    <t>ssp.res.flex.attr.asn.line.float5</t>
  </si>
  <si>
    <t>FlexAttrDateLine1</t>
  </si>
  <si>
    <t>Flex Date ASN Line 1</t>
  </si>
  <si>
    <t>ssp.res.flex.attr.asn.line.date1</t>
  </si>
  <si>
    <t>FlexAttrDateLine2</t>
  </si>
  <si>
    <t>Flex Date ASN Line 2</t>
  </si>
  <si>
    <t>ssp.res.flex.attr.asn.line.date2</t>
  </si>
  <si>
    <t>FlexAttrDateLine3</t>
  </si>
  <si>
    <t>Flex Date ASN Line 3</t>
  </si>
  <si>
    <t>ssp.res.flex.attr.asn.line.date3</t>
  </si>
  <si>
    <t>FlexAttrDateLine4</t>
  </si>
  <si>
    <t>Flex Date ASN Line 4</t>
  </si>
  <si>
    <t>ssp.res.flex.attr.asn.line.date4</t>
  </si>
  <si>
    <t>FlexAttrDateLine5</t>
  </si>
  <si>
    <t>Flex Date ASN Line 5</t>
  </si>
  <si>
    <t>ssp.res.flex.attr.asn.line.date5</t>
  </si>
  <si>
    <t>ShipToCustomerName</t>
  </si>
  <si>
    <t>Ship To Customer ID</t>
  </si>
  <si>
    <t>* The Remote Customer for the CustomerSite if different from CustomerName
* The ShipToCustomerName must correspond to a valid "ERP_Code" in the HUB spec</t>
  </si>
  <si>
    <t>ssp.res.ship.to.customer.name</t>
  </si>
  <si>
    <t>&lt;%AsnHeader.CustomerName%&gt;</t>
  </si>
  <si>
    <t>OPN</t>
  </si>
  <si>
    <t>ShipToCustomerDesc</t>
  </si>
  <si>
    <t>Ship To Customer Desc</t>
  </si>
  <si>
    <t>* User-friendly description of Remote CustomerName entry
* Pass-through field in InsertOrUpdate
* Preferably match the "ERP_Code_Description" in the Referenced Order spec, but need not match</t>
  </si>
  <si>
    <t>ssp.res.ship.to.customer.description</t>
  </si>
  <si>
    <t>&lt;%AsnHeader.CustomerDescription%&gt;</t>
  </si>
  <si>
    <t>ShipToCustomerItemName</t>
  </si>
  <si>
    <t>Ship To Customer Item ID</t>
  </si>
  <si>
    <t xml:space="preserve">* The Remote Customer Item for the Referenced Order Line Item
* Should match the "ERP_Customer_Item" in the PURCHASED ITEMS spec </t>
  </si>
  <si>
    <t>ssp.res.ship.to.customer.item.name</t>
  </si>
  <si>
    <t>&lt;%AsnLineItem.CustomerItemName%&gt;</t>
  </si>
  <si>
    <t>ShipToCustomerItemDesc</t>
  </si>
  <si>
    <t>Ship To Customer Item Desc</t>
  </si>
  <si>
    <t>* User-friendly description of Remote CustomerItemName entry
* Pass-through field in InsertOrUpdate
* Preferably match the "ERP_Customer_Item_Description" in the PURCHASED ITEMS spec but need not match</t>
  </si>
  <si>
    <t>ssp.res.ship.to.customer.item.desc</t>
  </si>
  <si>
    <t>&lt;%AsnLineItem.CustomerItemDesc%&gt;</t>
  </si>
  <si>
    <t>DropShipmentFlag</t>
  </si>
  <si>
    <t>Drop Shipment Flag</t>
  </si>
  <si>
    <t>* System level flag to indicate that Shipment is of drop ship type.</t>
  </si>
  <si>
    <t>enum=(Yes|No)</t>
  </si>
  <si>
    <t>ssp.res.drop.shipment.flag</t>
  </si>
  <si>
    <t>BuySide</t>
  </si>
  <si>
    <t>FlexAttrDateHeader6</t>
  </si>
  <si>
    <t>Flex Date ASN Header 6</t>
  </si>
  <si>
    <t>ssp.res.flex.attr.asn.header.date6</t>
  </si>
  <si>
    <t>FlexAttrDateHeader7</t>
  </si>
  <si>
    <t>Flex Date ASN Header 7</t>
  </si>
  <si>
    <t>ssp.res.flex.attr.asn.header.date7</t>
  </si>
  <si>
    <t>FlexAttrDateHeader8</t>
  </si>
  <si>
    <t>Flex Date ASN Header 8</t>
  </si>
  <si>
    <t>ssp.res.flex.attr.asn.header.date8</t>
  </si>
  <si>
    <t>FlexAttrDateHeader9</t>
  </si>
  <si>
    <t>Flex Date ASN Header 9</t>
  </si>
  <si>
    <t>ssp.res.flex.attr.asn.header.date9</t>
  </si>
  <si>
    <t>FlexAttrDateHeader10</t>
  </si>
  <si>
    <t>Flex Date ASN Header 10</t>
  </si>
  <si>
    <t>ssp.res.flex.attr.asn.header.date10</t>
  </si>
  <si>
    <t>FlexAttrDateHeader11</t>
  </si>
  <si>
    <t>Flex Date ASN Header 11</t>
  </si>
  <si>
    <t>ssp.res.flex.attr.asn.header.date11</t>
  </si>
  <si>
    <t>FlexAttrDateHeader12</t>
  </si>
  <si>
    <t>Flex Date ASN Header 12</t>
  </si>
  <si>
    <t>ssp.res.flex.attr.asn.header.date12</t>
  </si>
  <si>
    <t>FlexAttrDateHeader13</t>
  </si>
  <si>
    <t>Flex Date ASN Header 13</t>
  </si>
  <si>
    <t>ssp.res.flex.attr.asn.header.date13</t>
  </si>
  <si>
    <t>FlexAttrDateHeader14</t>
  </si>
  <si>
    <t>Flex Date ASN Header 14</t>
  </si>
  <si>
    <t>ssp.res.flex.attr.asn.header.date14</t>
  </si>
  <si>
    <t>FlexAttrDateHeader15</t>
  </si>
  <si>
    <t>Flex Date ASN Header 15</t>
  </si>
  <si>
    <t>ssp.res.flex.attr.asn.header.date15</t>
  </si>
  <si>
    <t>FlexAttrFloatHeader6</t>
  </si>
  <si>
    <t>Flex Float ASN Header 6</t>
  </si>
  <si>
    <t>* Project level configurable float field
* Not Preconfigured to be updated in InsertOrUpdate</t>
  </si>
  <si>
    <t>ssp.res.flex.attr.asn.header.float6</t>
  </si>
  <si>
    <t>FlexAttrFloatHeader7</t>
  </si>
  <si>
    <t>Flex Float ASN Header 7</t>
  </si>
  <si>
    <t>ssp.res.flex.attr.asn.header.float7</t>
  </si>
  <si>
    <t>FlexAttrFloatHeader8</t>
  </si>
  <si>
    <t>Flex Float ASN Header 8</t>
  </si>
  <si>
    <t>ssp.res.flex.attr.asn.header.float8</t>
  </si>
  <si>
    <t>FlexAttrFloatHeader9</t>
  </si>
  <si>
    <t>Flex Float ASN Header 9</t>
  </si>
  <si>
    <t>ssp.res.flex.attr.asn.header.float9</t>
  </si>
  <si>
    <t>FlexAttrFloatHeader10</t>
  </si>
  <si>
    <t>Flex Float ASN Header 10</t>
  </si>
  <si>
    <t>ssp.res.flex.attr.asn.header.float10</t>
  </si>
  <si>
    <t>FlexAttrIntHeader6</t>
  </si>
  <si>
    <t>Flex Int ASN Header 6</t>
  </si>
  <si>
    <t>* Project level configurable integer field
* Not Preconfigured to be updated in InsertOrUpdate</t>
  </si>
  <si>
    <t>ssp.res.flex.attr.asn.header.int6</t>
  </si>
  <si>
    <t>FlexAttrIntHeader7</t>
  </si>
  <si>
    <t>Flex Int ASN Header 7</t>
  </si>
  <si>
    <t>ssp.res.flex.attr.asn.header.int7</t>
  </si>
  <si>
    <t>FlexAttrIntHeader8</t>
  </si>
  <si>
    <t>Flex Int ASN Header 8</t>
  </si>
  <si>
    <t>ssp.res.flex.attr.asn.header.int8</t>
  </si>
  <si>
    <t>FlexAttrIntHeader9</t>
  </si>
  <si>
    <t>Flex Int ASN Header 9</t>
  </si>
  <si>
    <t>ssp.res.flex.attr.asn.header.int9</t>
  </si>
  <si>
    <t>FlexAttrIntHeader10</t>
  </si>
  <si>
    <t>Flex Int ASN Header 10</t>
  </si>
  <si>
    <t>ssp.res.flex.attr.asn.header.int10</t>
  </si>
  <si>
    <t>FlexAttrStringHeader10</t>
  </si>
  <si>
    <t>Flex String ASN Header 10</t>
  </si>
  <si>
    <t>* Project level configurable field for the allowed string length
* Not Preconfigured to be updated in InsertOrUpdate</t>
  </si>
  <si>
    <t>ssp.res.flex.attr.asn.header.string10</t>
  </si>
  <si>
    <t>FlexAttrStringHeader11</t>
  </si>
  <si>
    <t>Flex String ASN Header 11</t>
  </si>
  <si>
    <t>ssp.res.flex.attr.asn.header.string11</t>
  </si>
  <si>
    <t>FlexAttrStringHeader12</t>
  </si>
  <si>
    <t>Flex String ASN Header 12</t>
  </si>
  <si>
    <t>ssp.res.flex.attr.asn.header.string12</t>
  </si>
  <si>
    <t>FlexAttrStringHeader13</t>
  </si>
  <si>
    <t>Flex String ASN Header 13</t>
  </si>
  <si>
    <t>ssp.res.flex.attr.asn.header.string13</t>
  </si>
  <si>
    <t>FlexAttrDateDelivery1</t>
  </si>
  <si>
    <t>Flex Date ASN Delivery 1</t>
  </si>
  <si>
    <t>ssp.res.flex.attr.asn.delivery.date1</t>
  </si>
  <si>
    <t>FlexAttrDateDelivery2</t>
  </si>
  <si>
    <t>Flex Date ASN Delivery 2</t>
  </si>
  <si>
    <t>ssp.res.flex.attr.asn.delivery.date2</t>
  </si>
  <si>
    <t>FlexAttrDateDelivery3</t>
  </si>
  <si>
    <t>Flex Date ASN Delivery 3</t>
  </si>
  <si>
    <t>ssp.res.flex.attr.asn.delivery.date3</t>
  </si>
  <si>
    <t>FlexAttrDateDelivery4</t>
  </si>
  <si>
    <t>Flex Date ASN Delivery 4</t>
  </si>
  <si>
    <t>ssp.res.flex.attr.asn.delivery.date4</t>
  </si>
  <si>
    <t>FlexAttrDateDelivery5</t>
  </si>
  <si>
    <t>Flex Date ASN Delivery 5</t>
  </si>
  <si>
    <t>ssp.res.flex.attr.asn.delivery.date5</t>
  </si>
  <si>
    <t>FlexAttrDateDelivery6</t>
  </si>
  <si>
    <t>Flex Date ASN Delivery 6</t>
  </si>
  <si>
    <t>ssp.res.flex.attr.asn.delivery.date6</t>
  </si>
  <si>
    <t>FlexAttrDateDelivery7</t>
  </si>
  <si>
    <t>Flex Date ASN Delivery 7</t>
  </si>
  <si>
    <t>ssp.res.flex.attr.asn.delivery.date7</t>
  </si>
  <si>
    <t>FlexAttrDateDelivery8</t>
  </si>
  <si>
    <t>Flex Date ASN Delivery 8</t>
  </si>
  <si>
    <t>ssp.res.flex.attr.asn.delivery.date8</t>
  </si>
  <si>
    <t>FlexAttrDateDelivery9</t>
  </si>
  <si>
    <t>Flex Date ASN Delivery 9</t>
  </si>
  <si>
    <t>ssp.res.flex.attr.asn.delivery.date9</t>
  </si>
  <si>
    <t>FlexAttrDateDelivery10</t>
  </si>
  <si>
    <t>Flex Date ASN Delivery 10</t>
  </si>
  <si>
    <t>ssp.res.flex.attr.asn.delivery.date10</t>
  </si>
  <si>
    <t>FlexAttrDateDelivery11</t>
  </si>
  <si>
    <t>Flex Date ASN Delivery 11</t>
  </si>
  <si>
    <t>ssp.res.flex.attr.asn.delivery.date11</t>
  </si>
  <si>
    <t>FlexAttrDateDelivery12</t>
  </si>
  <si>
    <t>Flex Date ASN Delivery 12</t>
  </si>
  <si>
    <t>ssp.res.flex.attr.asn.delivery.date12</t>
  </si>
  <si>
    <t>FlexAttrDateDelivery13</t>
  </si>
  <si>
    <t>Flex Date ASN Delivery 13</t>
  </si>
  <si>
    <t>ssp.res.flex.attr.asn.delivery.date13</t>
  </si>
  <si>
    <t>FlexAttrDateDelivery14</t>
  </si>
  <si>
    <t>Flex Date ASN Delivery 14</t>
  </si>
  <si>
    <t>ssp.res.flex.attr.asn.delivery.date14</t>
  </si>
  <si>
    <t>FlexAttrDateDelivery15</t>
  </si>
  <si>
    <t>Flex Date ASN Delivery 15</t>
  </si>
  <si>
    <t>ssp.res.flex.attr.asn.delivery.date15</t>
  </si>
  <si>
    <t>FlexAttrFloatDelivery1</t>
  </si>
  <si>
    <t>Flex Float ASN Delivery 1</t>
  </si>
  <si>
    <t>ssp.res.flex.attr.asn.delivery.float1</t>
  </si>
  <si>
    <t>FlexAttrFloatDelivery2</t>
  </si>
  <si>
    <t>Flex Float ASN Delivery 2</t>
  </si>
  <si>
    <t>ssp.res.flex.attr.asn.delivery.float2</t>
  </si>
  <si>
    <t>FlexAttrFloatDelivery3</t>
  </si>
  <si>
    <t>Flex Float ASN Delivery 3</t>
  </si>
  <si>
    <t>ssp.res.flex.attr.asn.delivery.float3</t>
  </si>
  <si>
    <t>FlexAttrFloatDelivery4</t>
  </si>
  <si>
    <t>Flex Float ASN Delivery 4</t>
  </si>
  <si>
    <t>ssp.res.flex.attr.asn.delivery.float4</t>
  </si>
  <si>
    <t>FlexAttrFloatDelivery5</t>
  </si>
  <si>
    <t>Flex Float ASN Delivery 5</t>
  </si>
  <si>
    <t>ssp.res.flex.attr.asn.delivery.float5</t>
  </si>
  <si>
    <t>FlexAttrFloatDelivery6</t>
  </si>
  <si>
    <t>Flex Float ASN Delivery 6</t>
  </si>
  <si>
    <t>ssp.res.flex.attr.asn.delivery.float6</t>
  </si>
  <si>
    <t>FlexAttrFloatDelivery7</t>
  </si>
  <si>
    <t>Flex Float ASN Delivery 7</t>
  </si>
  <si>
    <t>ssp.res.flex.attr.asn.delivery.float7</t>
  </si>
  <si>
    <t>FlexAttrFloatDelivery8</t>
  </si>
  <si>
    <t>Flex Float ASN Delivery 8</t>
  </si>
  <si>
    <t>ssp.res.flex.attr.asn.delivery.float8</t>
  </si>
  <si>
    <t>FlexAttrFloatDelivery9</t>
  </si>
  <si>
    <t>Flex Float ASN Delivery 9</t>
  </si>
  <si>
    <t>ssp.res.flex.attr.asn.delivery.float9</t>
  </si>
  <si>
    <t>FlexAttrFloatDelivery10</t>
  </si>
  <si>
    <t>Flex Float ASN Delivery 10</t>
  </si>
  <si>
    <t>ssp.res.flex.attr.asn.delivery.float10</t>
  </si>
  <si>
    <t>FlexAttrIntDelivery1</t>
  </si>
  <si>
    <t>Flex Int ASN Delivery 1</t>
  </si>
  <si>
    <t>ssp.res.flex.attr.asn.delivery.int1</t>
  </si>
  <si>
    <t>FlexAttrIntDelivery2</t>
  </si>
  <si>
    <t>Flex Int ASN Delivery 2</t>
  </si>
  <si>
    <t>ssp.res.flex.attr.asn.delivery.int2</t>
  </si>
  <si>
    <t>FlexAttrIntDelivery3</t>
  </si>
  <si>
    <t>Flex Int ASN Delivery 3</t>
  </si>
  <si>
    <t>ssp.res.flex.attr.asn.delivery.int3</t>
  </si>
  <si>
    <t>FlexAttrIntDelivery4</t>
  </si>
  <si>
    <t>Flex Int ASN Delivery 4</t>
  </si>
  <si>
    <t>ssp.res.flex.attr.asn.delivery.int4</t>
  </si>
  <si>
    <t>FlexAttrIntDelivery5</t>
  </si>
  <si>
    <t>Flex Int ASN Delivery 5</t>
  </si>
  <si>
    <t>ssp.res.flex.attr.asn.delivery.int5</t>
  </si>
  <si>
    <t>FlexAttrIntDelivery6</t>
  </si>
  <si>
    <t>Flex Int ASN Delivery 6</t>
  </si>
  <si>
    <t>ssp.res.flex.attr.asn.delivery.int6</t>
  </si>
  <si>
    <t>FlexAttrIntDelivery7</t>
  </si>
  <si>
    <t>Flex Int ASN Delivery 7</t>
  </si>
  <si>
    <t>ssp.res.flex.attr.asn.delivery.int7</t>
  </si>
  <si>
    <t>FlexAttrIntDelivery8</t>
  </si>
  <si>
    <t>Flex Int ASN Delivery 8</t>
  </si>
  <si>
    <t>ssp.res.flex.attr.asn.delivery.int8</t>
  </si>
  <si>
    <t>FlexAttrIntDelivery9</t>
  </si>
  <si>
    <t>Flex Int ASN Delivery 9</t>
  </si>
  <si>
    <t>ssp.res.flex.attr.asn.delivery.int9</t>
  </si>
  <si>
    <t>FlexAttrIntDelivery10</t>
  </si>
  <si>
    <t>Flex Int ASN Delivery 10</t>
  </si>
  <si>
    <t>ssp.res.flex.attr.asn.delivery.int10</t>
  </si>
  <si>
    <t>FlexAttrStringDelivery1</t>
  </si>
  <si>
    <t>Flex String ASN Delivery 1</t>
  </si>
  <si>
    <t>ssp.res.flex.attr.asn.delivery.string1</t>
  </si>
  <si>
    <t>FlexAttrStringDelivery2</t>
  </si>
  <si>
    <t>Flex String ASN Delivery 2</t>
  </si>
  <si>
    <t>ssp.res.flex.attr.asn.delivery.string2</t>
  </si>
  <si>
    <t>FlexAttrStringDelivery3</t>
  </si>
  <si>
    <t>Flex String ASN Delivery 3</t>
  </si>
  <si>
    <t>ssp.res.flex.attr.asn.delivery.string3</t>
  </si>
  <si>
    <t>FlexAttrStringDelivery4</t>
  </si>
  <si>
    <t>Flex String ASN Delivery 4</t>
  </si>
  <si>
    <t>ssp.res.flex.attr.asn.delivery.string4</t>
  </si>
  <si>
    <t>FlexAttrStringDelivery5</t>
  </si>
  <si>
    <t>Flex String ASN Delivery 5</t>
  </si>
  <si>
    <t>ssp.res.flex.attr.asn.delivery.string5</t>
  </si>
  <si>
    <t>FlexAttrStringDelivery6</t>
  </si>
  <si>
    <t>Flex String ASN Delivery 6</t>
  </si>
  <si>
    <t>ssp.res.flex.attr.asn.delivery.string6</t>
  </si>
  <si>
    <t>FlexAttrStringDelivery7</t>
  </si>
  <si>
    <t>Flex String ASN Delivery 7</t>
  </si>
  <si>
    <t>ssp.res.flex.attr.asn.delivery.string7</t>
  </si>
  <si>
    <t>FlexAttrStringDelivery8</t>
  </si>
  <si>
    <t>Flex String ASN Delivery 8</t>
  </si>
  <si>
    <t>ssp.res.flex.attr.asn.delivery.string8</t>
  </si>
  <si>
    <t>FlexAttrStringDelivery9</t>
  </si>
  <si>
    <t>Flex String ASN Delivery 9</t>
  </si>
  <si>
    <t>ssp.res.flex.attr.asn.delivery.string9</t>
  </si>
  <si>
    <t>FlexAttrStringDelivery10</t>
  </si>
  <si>
    <t>Flex String ASN Delivery 10</t>
  </si>
  <si>
    <t>ssp.res.flex.attr.asn.delivery.string10</t>
  </si>
  <si>
    <t>FlexAttrStringDelivery11</t>
  </si>
  <si>
    <t>Flex String ASN Delivery 11</t>
  </si>
  <si>
    <t>ssp.res.flex.attr.asn.delivery.string11</t>
  </si>
  <si>
    <t>FlexAttrStringDelivery12</t>
  </si>
  <si>
    <t>Flex String ASN Delivery 12</t>
  </si>
  <si>
    <t>ssp.res.flex.attr.asn.delivery.string12</t>
  </si>
  <si>
    <t>FlexAttrStringDelivery13</t>
  </si>
  <si>
    <t>Flex String ASN Delivery 13</t>
  </si>
  <si>
    <t>ssp.res.flex.attr.asn.delivery.string13</t>
  </si>
  <si>
    <t>FlexAttrStringDelivery14</t>
  </si>
  <si>
    <t>Flex String ASN Delivery 14</t>
  </si>
  <si>
    <t>ssp.res.flex.attr.asn.delivery.string14</t>
  </si>
  <si>
    <t>FlexAttrStringDelivery15</t>
  </si>
  <si>
    <t>Flex String ASN Delivery 15</t>
  </si>
  <si>
    <t>ssp.res.flex.attr.asn.delivery.string15</t>
  </si>
  <si>
    <t>FlexAttrStringDelivery16</t>
  </si>
  <si>
    <t>Flex String ASN Delivery 16</t>
  </si>
  <si>
    <t>ssp.res.flex.attr.asn.delivery.string16</t>
  </si>
  <si>
    <t>FlexAttrDateLine6</t>
  </si>
  <si>
    <t>Flex Date ASN Line 6</t>
  </si>
  <si>
    <t>* Project level configurable date field
* Not Preconfigured to be updated in InsertOrUpdate</t>
  </si>
  <si>
    <t>ssp.res.flex.attr.asn.line.date6</t>
  </si>
  <si>
    <t>FlexAttrDateLine7</t>
  </si>
  <si>
    <t>Flex Date ASN Line 7</t>
  </si>
  <si>
    <t>ssp.res.flex.attr.asn.line.date7</t>
  </si>
  <si>
    <t>FlexAttrDateLine8</t>
  </si>
  <si>
    <t>Flex Date ASN Line 8</t>
  </si>
  <si>
    <t>ssp.res.flex.attr.asn.line.date8</t>
  </si>
  <si>
    <t>FlexAttrDateLine9</t>
  </si>
  <si>
    <t>Flex Date ASN Line 9</t>
  </si>
  <si>
    <t>ssp.res.flex.attr.asn.line.date9</t>
  </si>
  <si>
    <t>FlexAttrDateLine10</t>
  </si>
  <si>
    <t>Flex Date ASN Line 10</t>
  </si>
  <si>
    <t>ssp.res.flex.attr.asn.line.date10</t>
  </si>
  <si>
    <t>FlexAttrDateLine11</t>
  </si>
  <si>
    <t>Flex Date ASN Line 11</t>
  </si>
  <si>
    <t>ssp.res.flex.attr.asn.line.date11</t>
  </si>
  <si>
    <t>FlexAttrDateLine12</t>
  </si>
  <si>
    <t>Flex Date ASN Line 12</t>
  </si>
  <si>
    <t>ssp.res.flex.attr.asn.line.date12</t>
  </si>
  <si>
    <t>FlexAttrDateLine13</t>
  </si>
  <si>
    <t>Flex Date ASN Line 13</t>
  </si>
  <si>
    <t>ssp.res.flex.attr.asn.line.date13</t>
  </si>
  <si>
    <t>FlexAttrDateLine14</t>
  </si>
  <si>
    <t>Flex Date ASN Line 14</t>
  </si>
  <si>
    <t>ssp.res.flex.attr.asn.line.date14</t>
  </si>
  <si>
    <t>FlexAttrDateLine15</t>
  </si>
  <si>
    <t>Flex Date ASN Line 15</t>
  </si>
  <si>
    <t>ssp.res.flex.attr.asn.line.date15</t>
  </si>
  <si>
    <t>FlexAttrFloatLine6</t>
  </si>
  <si>
    <t>Flex Float ASN Line 6</t>
  </si>
  <si>
    <t>ssp.res.flex.attr.asn.line.float6</t>
  </si>
  <si>
    <t>FlexAttrFloatLine7</t>
  </si>
  <si>
    <t>Flex Float ASN Line 7</t>
  </si>
  <si>
    <t>ssp.res.flex.attr.asn.line.float7</t>
  </si>
  <si>
    <t>FlexAttrFloatLine8</t>
  </si>
  <si>
    <t>Flex Float ASN Line 8</t>
  </si>
  <si>
    <t>ssp.res.flex.attr.asn.line.float8</t>
  </si>
  <si>
    <t>FlexAttrFloatLine9</t>
  </si>
  <si>
    <t>Flex Float ASN Line 9</t>
  </si>
  <si>
    <t>ssp.res.flex.attr.asn.line.float9</t>
  </si>
  <si>
    <t>FlexAttrFloatLine10</t>
  </si>
  <si>
    <t>Flex Float ASN Line 10</t>
  </si>
  <si>
    <t>ssp.res.flex.attr.asn.line.float10</t>
  </si>
  <si>
    <t>FlexAttrIntLine6</t>
  </si>
  <si>
    <t>Flex Int ASN Line 6</t>
  </si>
  <si>
    <t>ssp.res.flex.attr.asn.line.int6</t>
  </si>
  <si>
    <t>FlexAttrIntLine7</t>
  </si>
  <si>
    <t>Flex Int ASN Line 7</t>
  </si>
  <si>
    <t>ssp.res.flex.attr.asn.line.int7</t>
  </si>
  <si>
    <t>FlexAttrIntLine8</t>
  </si>
  <si>
    <t>Flex Int ASN Line 8</t>
  </si>
  <si>
    <t>ssp.res.flex.attr.asn.line.int8</t>
  </si>
  <si>
    <t>FlexAttrIntLine9</t>
  </si>
  <si>
    <t>Flex Int ASN Line 9</t>
  </si>
  <si>
    <t>ssp.res.flex.attr.asn.line.int9</t>
  </si>
  <si>
    <t>FlexAttrIntLine10</t>
  </si>
  <si>
    <t>Flex Int ASN Line 10</t>
  </si>
  <si>
    <t>ssp.res.flex.attr.asn.line.int10</t>
  </si>
  <si>
    <t>FlexAttrStringLine10</t>
  </si>
  <si>
    <t>Flex String ASN Line 10</t>
  </si>
  <si>
    <t>ssp.res.flex.attr.asn.line.string10</t>
  </si>
  <si>
    <t>FlexAttrStringLine11</t>
  </si>
  <si>
    <t>Flex String ASN Line 11</t>
  </si>
  <si>
    <t>ssp.res.flex.attr.asn.line.string11</t>
  </si>
  <si>
    <t>FlexAttrStringLine12</t>
  </si>
  <si>
    <t>Flex String ASN Line 12</t>
  </si>
  <si>
    <t>ssp.res.flex.attr.asn.line.string12</t>
  </si>
  <si>
    <t>FlexAttrStringLine13</t>
  </si>
  <si>
    <t>Flex String ASN Line 13</t>
  </si>
  <si>
    <t>ssp.res.flex.attr.asn.line.string13</t>
  </si>
  <si>
    <t>FlexAttrStringLine14</t>
  </si>
  <si>
    <t>Flex String ASN Line 14</t>
  </si>
  <si>
    <t>ssp.res.flex.attr.asn.line.string14</t>
  </si>
  <si>
    <t>FlexAttrStringLine15</t>
  </si>
  <si>
    <t>Flex String ASN Line 15</t>
  </si>
  <si>
    <t>ssp.res.flex.attr.asn.line.string15</t>
  </si>
  <si>
    <t>FlexAttrStringLine16</t>
  </si>
  <si>
    <t>Flex String ASN Line 16</t>
  </si>
  <si>
    <t>ssp.res.flex.attr.asn.line.string16</t>
  </si>
  <si>
    <t>LotId</t>
  </si>
  <si>
    <t>Lot ID</t>
  </si>
  <si>
    <t>* Shipment Lot Id
* Key integer field established in Shipment Lot creation by InsertOrUpdate
* Change in value is unpermitted</t>
  </si>
  <si>
    <t>ssp.res.lot.id</t>
  </si>
  <si>
    <t>LotQuantity</t>
  </si>
  <si>
    <t>Lot Quantity</t>
  </si>
  <si>
    <t>* The ERP Lot Quantity for the Shipment
* The values allowed must be &gt; 0
* Update only allowed in InsertOrUpdate</t>
  </si>
  <si>
    <t>ssp.res.lot.quantity</t>
  </si>
  <si>
    <t>* The ERP Serial Number that identify the item parts in the Shipment Lot.
* Pass-through field in InsertOrUpdate.</t>
  </si>
  <si>
    <t>ssp.res.serial.number</t>
  </si>
  <si>
    <t>Batch Number</t>
  </si>
  <si>
    <t>* The ERP Batch Number that identify the batch that item parts belong to in the Shipment Lot.
* Pass-through field in InsertOrUpdate.</t>
  </si>
  <si>
    <t>ssp.res.batch.number</t>
  </si>
  <si>
    <t>ExpiryDate</t>
  </si>
  <si>
    <t>Expiry Date</t>
  </si>
  <si>
    <t>* The ERP Expiry Date that specified the expiration date of the Shipment Lot.
* Pass-through field in InsertOrUpdate.</t>
  </si>
  <si>
    <t>ssp.res.expiry.date</t>
  </si>
  <si>
    <t>LastModifiedDate</t>
  </si>
  <si>
    <t>Last Modified Date</t>
  </si>
  <si>
    <t>* If not empty during B2B InsertOrUpdate, then persisted as presented.
* If empty at the time of Shipment creation, then set to E2open system time at the time of creation.</t>
  </si>
  <si>
    <t>ssp.res.last.asn.date.modified1</t>
  </si>
  <si>
    <t>FlexAttrStringLot1</t>
  </si>
  <si>
    <t>Flex String Lot 1</t>
  </si>
  <si>
    <t>ssp.res.flex.attr.asn.lot.string1</t>
  </si>
  <si>
    <t>FlexAttrStringLot2</t>
  </si>
  <si>
    <t>Flex String Lot 2</t>
  </si>
  <si>
    <t>ssp.res.flex.attr.asn.lot.string2</t>
  </si>
  <si>
    <t>FlexAttrStringLot3</t>
  </si>
  <si>
    <t>Flex String Lot 3</t>
  </si>
  <si>
    <t>ssp.res.flex.attr.asn.lot.string3</t>
  </si>
  <si>
    <t>FlexAttrStringLot4</t>
  </si>
  <si>
    <t>Flex String Lot 4</t>
  </si>
  <si>
    <t>ssp.res.flex.attr.asn.lot.string4</t>
  </si>
  <si>
    <t>FlexAttrStringLot5</t>
  </si>
  <si>
    <t>Flex String Lot 5</t>
  </si>
  <si>
    <t>ssp.res.flex.attr.asn.lot.string5</t>
  </si>
  <si>
    <t>FlexAttrStringLot6</t>
  </si>
  <si>
    <t>Flex String Lot 6</t>
  </si>
  <si>
    <t>ssp.res.flex.attr.asn.lot.string6</t>
  </si>
  <si>
    <t>FlexAttrStringLot7</t>
  </si>
  <si>
    <t>Flex String Lot 7</t>
  </si>
  <si>
    <t>ssp.res.flex.attr.asn.lot.string7</t>
  </si>
  <si>
    <t>FlexAttrStringLot8</t>
  </si>
  <si>
    <t>Flex String Lot 8</t>
  </si>
  <si>
    <t>ssp.res.flex.attr.asn.lot.string8</t>
  </si>
  <si>
    <t>FlexAttrStringLot9</t>
  </si>
  <si>
    <t>Flex String Lot 9</t>
  </si>
  <si>
    <t>ssp.res.flex.attr.asn.lot.string9</t>
  </si>
  <si>
    <t>FlexAttrStringLot10</t>
  </si>
  <si>
    <t>Flex String Lot 10</t>
  </si>
  <si>
    <t>ssp.res.flex.attr.asn.lot.string10</t>
  </si>
  <si>
    <t>FlexAttrStringLot11</t>
  </si>
  <si>
    <t>Flex String Lot 11</t>
  </si>
  <si>
    <t>ssp.res.flex.attr.asn.lot.string11</t>
  </si>
  <si>
    <t>FlexAttrStringLot12</t>
  </si>
  <si>
    <t>Flex String Lot 12</t>
  </si>
  <si>
    <t>ssp.res.flex.attr.asn.lot.string12</t>
  </si>
  <si>
    <t>FlexAttrStringLot13</t>
  </si>
  <si>
    <t>Flex String Lot 13</t>
  </si>
  <si>
    <t>ssp.res.flex.attr.asn.lot.string13</t>
  </si>
  <si>
    <t>FlexAttrStringLot14</t>
  </si>
  <si>
    <t>Flex String Lot 14</t>
  </si>
  <si>
    <t>ssp.res.flex.attr.asn.lot.string14</t>
  </si>
  <si>
    <t>FlexAttrStringLot15</t>
  </si>
  <si>
    <t>Flex String Lot 15</t>
  </si>
  <si>
    <t>ssp.res.flex.attr.asn.lot.string15</t>
  </si>
  <si>
    <t>FlexAttrStringLot16</t>
  </si>
  <si>
    <t>Flex String Lot 16</t>
  </si>
  <si>
    <t>ssp.res.flex.attr.asn.lot.string16</t>
  </si>
  <si>
    <t>FlexAttrStringLot17</t>
  </si>
  <si>
    <t>Flex String Lot 17</t>
  </si>
  <si>
    <t>ssp.res.flex.attr.asn.lot.string17</t>
  </si>
  <si>
    <t>FlexAttrStringLot18</t>
  </si>
  <si>
    <t>Flex String Lot 18</t>
  </si>
  <si>
    <t>ssp.res.flex.attr.asn.lot.string18</t>
  </si>
  <si>
    <t>FlexAttrStringLot19</t>
  </si>
  <si>
    <t>Flex String Lot 19</t>
  </si>
  <si>
    <t>ssp.res.flex.attr.asn.lot.string19</t>
  </si>
  <si>
    <t>FlexAttrStringLot20</t>
  </si>
  <si>
    <t>Flex String Lot 20</t>
  </si>
  <si>
    <t>ssp.res.flex.attr.asn.lot.string20</t>
  </si>
  <si>
    <t>FlexAttrIntLot1</t>
  </si>
  <si>
    <t>Flex Integer Lot 1</t>
  </si>
  <si>
    <t>ssp.res.flex.attr.asn.lot.int1</t>
  </si>
  <si>
    <t>FlexAttrIntLot2</t>
  </si>
  <si>
    <t>Flex Integer Lot 2</t>
  </si>
  <si>
    <t>ssp.res.flex.attr.asn.lot.int2</t>
  </si>
  <si>
    <t>FlexAttrIntLot3</t>
  </si>
  <si>
    <t>Flex Integer Lot 3</t>
  </si>
  <si>
    <t>ssp.res.flex.attr.asn.lot.int3</t>
  </si>
  <si>
    <t>FlexAttrIntLot4</t>
  </si>
  <si>
    <t>Flex Integer Lot 4</t>
  </si>
  <si>
    <t>ssp.res.flex.attr.asn.lot.int4</t>
  </si>
  <si>
    <t>FlexAttrIntLot5</t>
  </si>
  <si>
    <t>Flex Integer Lot 5</t>
  </si>
  <si>
    <t>ssp.res.flex.attr.asn.lot.int5</t>
  </si>
  <si>
    <t>FlexAttrIntLot6</t>
  </si>
  <si>
    <t>Flex Integer Lot 6</t>
  </si>
  <si>
    <t>ssp.res.flex.attr.asn.lot.int6</t>
  </si>
  <si>
    <t>FlexAttrIntLot7</t>
  </si>
  <si>
    <t>Flex Integer Lot 7</t>
  </si>
  <si>
    <t>ssp.res.flex.attr.asn.lot.int7</t>
  </si>
  <si>
    <t>FlexAttrIntLot8</t>
  </si>
  <si>
    <t>Flex Integer Lot 8</t>
  </si>
  <si>
    <t>ssp.res.flex.attr.asn.lot.int8</t>
  </si>
  <si>
    <t>FlexAttrIntLot9</t>
  </si>
  <si>
    <t>Flex Integer Lot 9</t>
  </si>
  <si>
    <t>ssp.res.flex.attr.asn.lot.int9</t>
  </si>
  <si>
    <t>FlexAttrIntLot10</t>
  </si>
  <si>
    <t>Flex Integer Lot 10</t>
  </si>
  <si>
    <t>ssp.res.flex.attr.asn.lot.int10</t>
  </si>
  <si>
    <t>FlexAttrFloatLot1</t>
  </si>
  <si>
    <t>Flex Float Lot 1</t>
  </si>
  <si>
    <t>ssp.res.flex.attr.asn.lot.float1</t>
  </si>
  <si>
    <t>FlexAttrFloatLot2</t>
  </si>
  <si>
    <t>Flex Float Lot 2</t>
  </si>
  <si>
    <t>ssp.res.flex.attr.asn.lot.float2</t>
  </si>
  <si>
    <t>FlexAttrFloatLot3</t>
  </si>
  <si>
    <t>Flex Float Lot 3</t>
  </si>
  <si>
    <t>ssp.res.flex.attr.asn.lot.float3</t>
  </si>
  <si>
    <t>FlexAttrFloatLot4</t>
  </si>
  <si>
    <t>Flex Float Lot 4</t>
  </si>
  <si>
    <t>ssp.res.flex.attr.asn.lot.float4</t>
  </si>
  <si>
    <t>FlexAttrFloatLot5</t>
  </si>
  <si>
    <t>Flex Float Lot 5</t>
  </si>
  <si>
    <t>ssp.res.flex.attr.asn.lot.float5</t>
  </si>
  <si>
    <t>FlexAttrFloatLot6</t>
  </si>
  <si>
    <t>Flex Float Lot 6</t>
  </si>
  <si>
    <t>ssp.res.flex.attr.asn.lot.float6</t>
  </si>
  <si>
    <t>FlexAttrFloatLot7</t>
  </si>
  <si>
    <t>Flex Float Lot 7</t>
  </si>
  <si>
    <t>ssp.res.flex.attr.asn.lot.float7</t>
  </si>
  <si>
    <t>FlexAttrFloatLot8</t>
  </si>
  <si>
    <t>Flex Float Lot 8</t>
  </si>
  <si>
    <t>ssp.res.flex.attr.asn.lot.float8</t>
  </si>
  <si>
    <t>FlexAttrFloatLot9</t>
  </si>
  <si>
    <t>Flex Float Lot 9</t>
  </si>
  <si>
    <t>ssp.res.flex.attr.asn.lot.float9</t>
  </si>
  <si>
    <t>FlexAttrFloatLot10</t>
  </si>
  <si>
    <t>Flex Float Lot 10</t>
  </si>
  <si>
    <t>ssp.res.flex.attr.asn.lot.float10</t>
  </si>
  <si>
    <t>FlexAttrDateLot1</t>
  </si>
  <si>
    <t>Flex Date Lot 1</t>
  </si>
  <si>
    <t>ssp.res.flex.attr.asn.lot.date1</t>
  </si>
  <si>
    <t>FlexAttrDateLot2</t>
  </si>
  <si>
    <t>Flex Date Lot 2</t>
  </si>
  <si>
    <t>ssp.res.flex.attr.asn.lot.date2</t>
  </si>
  <si>
    <t>FlexAttrDateLot3</t>
  </si>
  <si>
    <t>Flex Date Lot 3</t>
  </si>
  <si>
    <t>ssp.res.flex.attr.asn.lot.date3</t>
  </si>
  <si>
    <t>FlexAttrDateLot4</t>
  </si>
  <si>
    <t>Flex Date Lot 4</t>
  </si>
  <si>
    <t>ssp.res.flex.attr.asn.lot.date4</t>
  </si>
  <si>
    <t>FlexAttrDateLot5</t>
  </si>
  <si>
    <t>Flex Date Lot 5</t>
  </si>
  <si>
    <t>ssp.res.flex.attr.asn.lot.date5</t>
  </si>
  <si>
    <t>FlexAttrDateLot6</t>
  </si>
  <si>
    <t>Flex Date Lot 6</t>
  </si>
  <si>
    <t>ssp.res.flex.attr.asn.lot.date6</t>
  </si>
  <si>
    <t>FlexAttrDateLot7</t>
  </si>
  <si>
    <t>Flex Date Lot 7</t>
  </si>
  <si>
    <t>ssp.res.flex.attr.asn.lot.date7</t>
  </si>
  <si>
    <t>FlexAttrDateLot8</t>
  </si>
  <si>
    <t>Flex Date Lot 8</t>
  </si>
  <si>
    <t>ssp.res.flex.attr.asn.lot.date8</t>
  </si>
  <si>
    <t>FlexAttrDateLot9</t>
  </si>
  <si>
    <t>Flex Date Lot 9</t>
  </si>
  <si>
    <t>ssp.res.flex.attr.asn.lot.date9</t>
  </si>
  <si>
    <t>FlexAttrDateLot10</t>
  </si>
  <si>
    <t>Flex Date Lot 10</t>
  </si>
  <si>
    <t>ssp.res.flex.attr.asn.lot.date10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</si>
</sst>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sz val="8"/>
      <color indexed="8"/>
      <name val="Verdana"/>
      <family val="2"/>
    </font>
    <font>
      <b/>
      <sz val="8"/>
      <color theme="4" tint="0.79998168889431442"/>
      <name val="Verdana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7" tint="0.79998168889431442"/>
      <name val="Verdana"/>
      <family val="2"/>
    </font>
    <font>
      <sz val="10"/>
      <color theme="1"/>
      <name val="Arial"/>
      <family val="2"/>
    </font>
    <font>
      <sz val="9"/>
      <color rgb="FF0000FF"/>
      <name val="Verdana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AEAE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12" fillId="0" borderId="0"/>
  </cellStyleXfs>
  <cellXfs count="95">
    <xf numFmtId="0" fontId="0" fillId="0" borderId="0" xfId="0"/>
    <xf numFmtId="0" fontId="3" fillId="0" borderId="0" xfId="1" applyAlignment="1">
      <alignment vertical="center"/>
    </xf>
    <xf numFmtId="0" fontId="3" fillId="0" borderId="0" xfId="1"/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left" vertical="center" wrapText="1"/>
    </xf>
    <xf numFmtId="0" fontId="3" fillId="0" borderId="1" xfId="1" applyBorder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3" fillId="0" borderId="1" xfId="1" applyBorder="1" applyAlignment="1">
      <alignment horizontal="center"/>
    </xf>
    <xf numFmtId="0" fontId="3" fillId="0" borderId="0" xfId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1" xfId="1" applyBorder="1"/>
    <xf numFmtId="0" fontId="3" fillId="0" borderId="1" xfId="1" applyBorder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0" borderId="5" xfId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2" applyFont="1" applyBorder="1" applyAlignment="1">
      <alignment vertical="top"/>
    </xf>
    <xf numFmtId="0" fontId="8" fillId="0" borderId="1" xfId="3" applyFont="1" applyBorder="1" applyAlignment="1">
      <alignment wrapText="1"/>
    </xf>
    <xf numFmtId="0" fontId="8" fillId="0" borderId="1" xfId="2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4" fillId="3" borderId="4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/>
    </xf>
    <xf numFmtId="0" fontId="10" fillId="4" borderId="1" xfId="0" applyFont="1" applyFill="1" applyBorder="1"/>
    <xf numFmtId="0" fontId="10" fillId="0" borderId="0" xfId="0" applyFont="1"/>
    <xf numFmtId="0" fontId="11" fillId="0" borderId="0" xfId="0" applyFont="1"/>
    <xf numFmtId="0" fontId="13" fillId="5" borderId="2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top" wrapText="1"/>
    </xf>
    <xf numFmtId="0" fontId="9" fillId="6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top" wrapText="1"/>
    </xf>
    <xf numFmtId="0" fontId="5" fillId="7" borderId="0" xfId="2" applyFont="1" applyFill="1" applyAlignment="1">
      <alignment horizontal="left" vertical="top" wrapText="1"/>
    </xf>
    <xf numFmtId="0" fontId="7" fillId="0" borderId="0" xfId="2" applyFont="1"/>
    <xf numFmtId="0" fontId="7" fillId="0" borderId="0" xfId="2" applyFont="1" applyAlignment="1">
      <alignment wrapText="1"/>
    </xf>
    <xf numFmtId="0" fontId="7" fillId="0" borderId="0" xfId="2" applyFont="1" applyAlignment="1">
      <alignment horizontal="center"/>
    </xf>
    <xf numFmtId="0" fontId="5" fillId="8" borderId="0" xfId="2" applyFont="1" applyFill="1" applyAlignment="1">
      <alignment horizontal="center" vertical="top" wrapText="1"/>
    </xf>
    <xf numFmtId="0" fontId="5" fillId="8" borderId="0" xfId="2" applyFont="1" applyFill="1" applyAlignment="1">
      <alignment horizontal="left" vertical="top" wrapText="1"/>
    </xf>
    <xf numFmtId="0" fontId="5" fillId="8" borderId="0" xfId="2" applyFont="1" applyFill="1" applyAlignment="1">
      <alignment vertical="top" wrapText="1"/>
    </xf>
    <xf numFmtId="0" fontId="5" fillId="9" borderId="0" xfId="2" applyFont="1" applyFill="1" applyAlignment="1">
      <alignment horizontal="left" vertical="top" wrapText="1"/>
    </xf>
    <xf numFmtId="0" fontId="2" fillId="0" borderId="0" xfId="2" applyFont="1"/>
    <xf numFmtId="0" fontId="2" fillId="10" borderId="0" xfId="2" applyFont="1" applyFill="1"/>
    <xf numFmtId="0" fontId="14" fillId="0" borderId="0" xfId="2" applyFont="1"/>
    <xf numFmtId="0" fontId="7" fillId="10" borderId="0" xfId="2" applyFont="1" applyFill="1"/>
    <xf numFmtId="0" fontId="7" fillId="10" borderId="0" xfId="2" applyFont="1" applyFill="1" applyAlignment="1">
      <alignment horizontal="left"/>
    </xf>
    <xf numFmtId="0" fontId="7" fillId="10" borderId="0" xfId="2" applyFont="1" applyFill="1" applyAlignment="1">
      <alignment wrapText="1"/>
    </xf>
    <xf numFmtId="0" fontId="7" fillId="10" borderId="0" xfId="2" applyFont="1" applyFill="1" applyAlignment="1">
      <alignment horizontal="center"/>
    </xf>
    <xf numFmtId="0" fontId="7" fillId="0" borderId="0" xfId="2" applyFont="1" applyAlignment="1">
      <alignment horizontal="left"/>
    </xf>
    <xf numFmtId="49" fontId="0" fillId="0" borderId="0" xfId="0" applyNumberFormat="1"/>
    <xf numFmtId="49" fontId="15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0" fontId="1" fillId="0" borderId="5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0" xfId="2" applyFont="1"/>
    <xf numFmtId="0" fontId="1" fillId="0" borderId="0" xfId="2" applyFont="1" applyAlignment="1">
      <alignment wrapText="1"/>
    </xf>
    <xf numFmtId="0" fontId="1" fillId="0" borderId="0" xfId="2" applyFont="1" applyAlignment="1">
      <alignment vertical="top"/>
    </xf>
    <xf numFmtId="0" fontId="1" fillId="0" borderId="0" xfId="2" applyFont="1" applyAlignment="1">
      <alignment vertical="top" wrapText="1"/>
    </xf>
    <xf numFmtId="0" fontId="1" fillId="0" borderId="0" xfId="3" applyFont="1" applyAlignment="1">
      <alignment wrapText="1"/>
    </xf>
    <xf numFmtId="0" fontId="1" fillId="0" borderId="0" xfId="4" applyFont="1" applyAlignment="1">
      <alignment horizontal="left"/>
    </xf>
    <xf numFmtId="0" fontId="1" fillId="0" borderId="0" xfId="2" applyFont="1" applyAlignment="1">
      <alignment horizontal="left" wrapText="1"/>
    </xf>
    <xf numFmtId="0" fontId="1" fillId="0" borderId="0" xfId="2" applyFont="1" applyAlignment="1">
      <alignment horizontal="left"/>
    </xf>
    <xf numFmtId="0" fontId="1" fillId="10" borderId="0" xfId="2" applyFont="1" applyFill="1"/>
    <xf numFmtId="0" fontId="1" fillId="10" borderId="0" xfId="2" applyFont="1" applyFill="1" applyAlignment="1">
      <alignment horizontal="left"/>
    </xf>
    <xf numFmtId="0" fontId="1" fillId="10" borderId="0" xfId="2" applyFont="1" applyFill="1" applyAlignment="1">
      <alignment wrapText="1"/>
    </xf>
    <xf numFmtId="0" fontId="1" fillId="0" borderId="6" xfId="2" applyFont="1" applyBorder="1" applyAlignment="1">
      <alignment wrapText="1"/>
    </xf>
    <xf numFmtId="0" fontId="1" fillId="0" borderId="0" xfId="2" applyFont="1" applyAlignment="1">
      <alignment horizontal="center"/>
    </xf>
    <xf numFmtId="0" fontId="1" fillId="10" borderId="0" xfId="2" applyFont="1" applyFill="1" applyAlignment="1">
      <alignment horizontal="center"/>
    </xf>
    <xf numFmtId="0" fontId="9" fillId="6" borderId="3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3" fillId="5" borderId="4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7" borderId="0" xfId="2" applyFont="1" applyFill="1" applyAlignment="1">
      <alignment horizontal="left" vertical="top" wrapText="1"/>
    </xf>
  </cellXfs>
  <cellStyles count="5">
    <cellStyle name="Normal" xfId="0" builtinId="0"/>
    <cellStyle name="Normal 10 2" xfId="2" xr:uid="{DA7A8AFF-B10A-48F1-8173-10A2B6F91FD0}"/>
    <cellStyle name="Normal 2" xfId="1" xr:uid="{F54CA3D3-F8C8-4018-AA9A-616E3E167C90}"/>
    <cellStyle name="Normal 4 10" xfId="3" xr:uid="{CD90611D-8215-4337-97DC-07E3496A3E9C}"/>
    <cellStyle name="Normal 4 2 2" xfId="4" xr:uid="{4623CE3F-F8C1-4DF3-B405-665DD60A8137}"/>
  </cellStyles>
  <dxfs count="0"/>
  <tableStyles count="1" defaultTableStyle="TableStyleMedium2" defaultPivotStyle="PivotStyleLight16">
    <tableStyle name="Invisible" pivot="0" table="0" count="0" xr9:uid="{5A298925-A3C1-4651-943D-8FA1E679D8FA}"/>
  </tableStyles>
  <colors>
    <mruColors>
      <color rgb="FF0000FF"/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152400</xdr:rowOff>
    </xdr:from>
    <xdr:to>
      <xdr:col>2</xdr:col>
      <xdr:colOff>647950</xdr:colOff>
      <xdr:row>0</xdr:row>
      <xdr:rowOff>609664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54336-0FE9-40A3-BFDE-C7D6B806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52400"/>
          <a:ext cx="1790950" cy="457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H23" sqref="H23"/>
    </sheetView>
  </sheetViews>
  <sheetFormatPr defaultColWidth="9.140625" defaultRowHeight="10.5"/>
  <cols>
    <col min="1" max="2" width="9.140625" style="15"/>
    <col min="3" max="3" width="24.85546875" style="15" customWidth="1"/>
    <col min="4" max="4" width="17" style="15" customWidth="1"/>
    <col min="5" max="5" width="31.28515625" style="15" customWidth="1"/>
    <col min="6" max="16384" width="9.140625" style="15"/>
  </cols>
  <sheetData>
    <row r="1" spans="2:5" ht="54" customHeight="1">
      <c r="B1" s="61"/>
      <c r="C1" s="61"/>
      <c r="D1" s="61"/>
      <c r="E1" s="61"/>
    </row>
    <row r="2" spans="2:5">
      <c r="B2" s="16" t="s">
        <v>0</v>
      </c>
      <c r="C2" s="16" t="s">
        <v>1</v>
      </c>
      <c r="D2" s="16" t="s">
        <v>2</v>
      </c>
      <c r="E2" s="16" t="s">
        <v>3</v>
      </c>
    </row>
    <row r="3" spans="2:5">
      <c r="B3" s="62">
        <v>1</v>
      </c>
      <c r="C3" s="63" t="s">
        <v>4</v>
      </c>
      <c r="D3" s="64">
        <v>45089</v>
      </c>
      <c r="E3" s="63" t="s">
        <v>5</v>
      </c>
    </row>
    <row r="4" spans="2:5">
      <c r="B4" s="63"/>
      <c r="C4" s="63"/>
      <c r="D4" s="63"/>
      <c r="E4" s="63"/>
    </row>
    <row r="5" spans="2:5">
      <c r="B5" s="63"/>
      <c r="C5" s="63"/>
      <c r="D5" s="63"/>
      <c r="E5" s="63"/>
    </row>
    <row r="6" spans="2:5">
      <c r="B6" s="63"/>
      <c r="C6" s="63"/>
      <c r="D6" s="63"/>
      <c r="E6" s="63"/>
    </row>
    <row r="7" spans="2:5">
      <c r="B7" s="63"/>
      <c r="C7" s="63"/>
      <c r="D7" s="63"/>
      <c r="E7" s="63"/>
    </row>
    <row r="8" spans="2:5">
      <c r="B8" s="63"/>
      <c r="C8" s="63"/>
      <c r="D8" s="63"/>
      <c r="E8" s="63"/>
    </row>
    <row r="9" spans="2:5">
      <c r="B9" s="63"/>
      <c r="C9" s="63"/>
      <c r="D9" s="63"/>
      <c r="E9" s="63"/>
    </row>
    <row r="10" spans="2:5">
      <c r="B10" s="63"/>
      <c r="C10" s="63"/>
      <c r="D10" s="63"/>
      <c r="E10" s="63"/>
    </row>
    <row r="11" spans="2:5">
      <c r="B11" s="63"/>
      <c r="C11" s="63"/>
      <c r="D11" s="63"/>
      <c r="E11" s="63"/>
    </row>
    <row r="12" spans="2:5">
      <c r="B12" s="63"/>
      <c r="C12" s="63"/>
      <c r="D12" s="63"/>
      <c r="E12" s="63"/>
    </row>
    <row r="13" spans="2:5">
      <c r="B13" s="63"/>
      <c r="C13" s="63"/>
      <c r="D13" s="63"/>
      <c r="E13" s="63"/>
    </row>
    <row r="14" spans="2:5">
      <c r="B14" s="63"/>
      <c r="C14" s="63"/>
      <c r="D14" s="63"/>
      <c r="E14" s="63"/>
    </row>
    <row r="15" spans="2:5">
      <c r="B15" s="63"/>
      <c r="C15" s="63"/>
      <c r="D15" s="63"/>
      <c r="E15" s="63"/>
    </row>
    <row r="16" spans="2:5">
      <c r="B16" s="63"/>
      <c r="C16" s="63"/>
      <c r="D16" s="63"/>
      <c r="E16" s="63"/>
    </row>
    <row r="17" spans="2:5">
      <c r="B17" s="63"/>
      <c r="C17" s="63"/>
      <c r="D17" s="63"/>
      <c r="E17" s="63"/>
    </row>
    <row r="18" spans="2:5">
      <c r="B18" s="63"/>
      <c r="C18" s="63"/>
      <c r="D18" s="63"/>
      <c r="E18" s="63"/>
    </row>
    <row r="19" spans="2:5">
      <c r="B19" s="63"/>
      <c r="C19" s="63"/>
      <c r="D19" s="63"/>
      <c r="E19" s="63"/>
    </row>
    <row r="20" spans="2:5">
      <c r="B20" s="63"/>
      <c r="C20" s="63"/>
      <c r="D20" s="63"/>
      <c r="E20" s="63"/>
    </row>
    <row r="21" spans="2:5">
      <c r="B21" s="63"/>
      <c r="C21" s="63"/>
      <c r="D21" s="63"/>
      <c r="E21" s="63"/>
    </row>
    <row r="22" spans="2:5">
      <c r="B22" s="63"/>
      <c r="C22" s="63"/>
      <c r="D22" s="63"/>
      <c r="E22" s="63"/>
    </row>
    <row r="23" spans="2:5">
      <c r="B23" s="63"/>
      <c r="C23" s="63"/>
      <c r="D23" s="63"/>
      <c r="E23" s="63"/>
    </row>
    <row r="24" spans="2:5">
      <c r="B24" s="63"/>
      <c r="C24" s="63"/>
      <c r="D24" s="63"/>
      <c r="E24" s="63"/>
    </row>
    <row r="25" spans="2:5">
      <c r="B25" s="63"/>
      <c r="C25" s="63"/>
      <c r="D25" s="63"/>
      <c r="E25" s="63"/>
    </row>
    <row r="26" spans="2:5">
      <c r="B26" s="63"/>
      <c r="C26" s="63"/>
      <c r="D26" s="63"/>
      <c r="E26" s="63"/>
    </row>
    <row r="27" spans="2:5">
      <c r="B27" s="63"/>
      <c r="C27" s="63"/>
      <c r="D27" s="63"/>
      <c r="E27" s="63"/>
    </row>
    <row r="28" spans="2:5">
      <c r="B28" s="63"/>
      <c r="C28" s="63"/>
      <c r="D28" s="63"/>
      <c r="E28" s="63"/>
    </row>
    <row r="29" spans="2:5">
      <c r="B29" s="63"/>
      <c r="C29" s="63"/>
      <c r="D29" s="63"/>
      <c r="E29" s="63"/>
    </row>
    <row r="30" spans="2:5">
      <c r="B30" s="63"/>
      <c r="C30" s="63"/>
      <c r="D30" s="63"/>
      <c r="E30" s="63"/>
    </row>
    <row r="31" spans="2:5">
      <c r="B31" s="63"/>
      <c r="C31" s="63"/>
      <c r="D31" s="63"/>
      <c r="E31" s="63"/>
    </row>
    <row r="32" spans="2:5">
      <c r="B32" s="63"/>
      <c r="C32" s="63"/>
      <c r="D32" s="63"/>
      <c r="E32" s="63"/>
    </row>
    <row r="33" spans="2:5">
      <c r="B33" s="63"/>
      <c r="C33" s="63"/>
      <c r="D33" s="63"/>
      <c r="E33" s="6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L124"/>
  <sheetViews>
    <sheetView showGridLines="0" zoomScaleNormal="100" workbookViewId="0">
      <pane xSplit="5" ySplit="3" topLeftCell="F41" activePane="bottomRight" state="frozen"/>
      <selection pane="bottomRight" activeCell="J78" sqref="C78:J78"/>
      <selection pane="bottomLeft" activeCell="A4" sqref="A4"/>
      <selection pane="topRight" activeCell="F1" sqref="F1"/>
    </sheetView>
  </sheetViews>
  <sheetFormatPr defaultColWidth="9.140625" defaultRowHeight="10.5"/>
  <cols>
    <col min="1" max="1" width="4" style="2" customWidth="1"/>
    <col min="2" max="2" width="20.5703125" style="2" customWidth="1"/>
    <col min="3" max="3" width="39.5703125" style="2" bestFit="1" customWidth="1"/>
    <col min="4" max="4" width="36.42578125" style="2" bestFit="1" customWidth="1"/>
    <col min="5" max="5" width="17.5703125" style="2" customWidth="1"/>
    <col min="6" max="6" width="6" style="2" customWidth="1"/>
    <col min="7" max="7" width="4.140625" style="2" hidden="1" customWidth="1"/>
    <col min="8" max="8" width="6.140625" style="2" hidden="1" customWidth="1"/>
    <col min="9" max="9" width="14" style="2" customWidth="1"/>
    <col min="10" max="10" width="82.28515625" style="2" customWidth="1"/>
    <col min="11" max="11" width="34" style="2" customWidth="1"/>
    <col min="12" max="12" width="20.42578125" style="2" customWidth="1"/>
    <col min="13" max="16384" width="9.140625" style="2"/>
  </cols>
  <sheetData>
    <row r="2" spans="1:12" s="1" customFormat="1">
      <c r="A2" s="90" t="s">
        <v>6</v>
      </c>
      <c r="B2" s="91"/>
      <c r="C2" s="91"/>
      <c r="D2" s="91"/>
      <c r="E2" s="92"/>
      <c r="F2" s="29"/>
      <c r="G2" s="93" t="s">
        <v>7</v>
      </c>
      <c r="H2" s="93"/>
      <c r="I2" s="87" t="s">
        <v>8</v>
      </c>
      <c r="J2" s="88"/>
      <c r="K2" s="88"/>
      <c r="L2" s="89"/>
    </row>
    <row r="3" spans="1:12" ht="31.5">
      <c r="A3" s="36" t="s">
        <v>9</v>
      </c>
      <c r="B3" s="36" t="s">
        <v>10</v>
      </c>
      <c r="C3" s="36" t="s">
        <v>11</v>
      </c>
      <c r="D3" s="35" t="s">
        <v>12</v>
      </c>
      <c r="E3" s="37" t="s">
        <v>13</v>
      </c>
      <c r="F3" s="30" t="s">
        <v>14</v>
      </c>
      <c r="G3" s="31" t="s">
        <v>15</v>
      </c>
      <c r="H3" s="31" t="s">
        <v>13</v>
      </c>
      <c r="I3" s="38" t="s">
        <v>16</v>
      </c>
      <c r="J3" s="39" t="s">
        <v>12</v>
      </c>
      <c r="K3" s="40" t="s">
        <v>13</v>
      </c>
      <c r="L3" s="40" t="s">
        <v>17</v>
      </c>
    </row>
    <row r="4" spans="1:12" s="6" customFormat="1">
      <c r="A4" s="4"/>
      <c r="B4" s="4">
        <f>VLOOKUP(C4,MtimShipmentLot!B4:C384,2,0)</f>
        <v>0</v>
      </c>
      <c r="C4" s="22" t="s">
        <v>18</v>
      </c>
      <c r="D4" s="23" t="s">
        <v>19</v>
      </c>
      <c r="E4" s="4"/>
      <c r="F4" s="22" t="s">
        <v>20</v>
      </c>
      <c r="G4" s="8"/>
      <c r="H4" s="8"/>
      <c r="I4" s="65"/>
      <c r="J4" s="18" t="s">
        <v>21</v>
      </c>
      <c r="K4" s="66"/>
      <c r="L4" s="67"/>
    </row>
    <row r="5" spans="1:12" s="10" customFormat="1">
      <c r="A5" s="4"/>
      <c r="B5" s="4">
        <f>VLOOKUP(C5,MtimShipmentLot!B5:C385,2,0)</f>
        <v>1</v>
      </c>
      <c r="C5" s="61" t="s">
        <v>22</v>
      </c>
      <c r="D5" s="24" t="s">
        <v>23</v>
      </c>
      <c r="E5" s="4"/>
      <c r="F5" s="22" t="s">
        <v>20</v>
      </c>
      <c r="G5" s="8"/>
      <c r="H5" s="8"/>
      <c r="I5" s="68"/>
      <c r="J5" s="67" t="s">
        <v>24</v>
      </c>
      <c r="K5" s="5"/>
      <c r="L5" s="5"/>
    </row>
    <row r="6" spans="1:12">
      <c r="A6" s="4"/>
      <c r="B6" s="4">
        <f>VLOOKUP(C6,MtimShipmentLot!B6:C386,2,0)</f>
        <v>2</v>
      </c>
      <c r="C6" s="22" t="s">
        <v>25</v>
      </c>
      <c r="D6" s="25" t="s">
        <v>26</v>
      </c>
      <c r="E6" s="4"/>
      <c r="F6" s="22" t="s">
        <v>27</v>
      </c>
      <c r="G6" s="5"/>
      <c r="H6" s="14"/>
      <c r="I6" s="69"/>
      <c r="J6" s="67" t="s">
        <v>28</v>
      </c>
      <c r="K6" s="14"/>
      <c r="L6" s="17"/>
    </row>
    <row r="7" spans="1:12" s="6" customFormat="1">
      <c r="A7" s="4"/>
      <c r="B7" s="4">
        <f>VLOOKUP(C7,MtimShipmentLot!B7:C387,2,0)</f>
        <v>5</v>
      </c>
      <c r="C7" s="22" t="s">
        <v>29</v>
      </c>
      <c r="D7" s="24" t="s">
        <v>30</v>
      </c>
      <c r="E7" s="4"/>
      <c r="F7" s="22" t="s">
        <v>27</v>
      </c>
      <c r="G7" s="8"/>
      <c r="H7" s="5"/>
      <c r="I7" s="69"/>
      <c r="J7" s="67" t="s">
        <v>31</v>
      </c>
      <c r="K7" s="3"/>
      <c r="L7" s="5"/>
    </row>
    <row r="8" spans="1:12" s="10" customFormat="1">
      <c r="A8" s="4"/>
      <c r="B8" s="4">
        <f>VLOOKUP(C8,MtimShipmentLot!B8:C388,2,0)</f>
        <v>6</v>
      </c>
      <c r="C8" s="22" t="s">
        <v>32</v>
      </c>
      <c r="D8" s="24" t="s">
        <v>33</v>
      </c>
      <c r="E8" s="4"/>
      <c r="F8" s="22" t="s">
        <v>27</v>
      </c>
      <c r="G8" s="8"/>
      <c r="H8" s="9"/>
      <c r="I8" s="69"/>
      <c r="J8" s="67" t="s">
        <v>34</v>
      </c>
      <c r="K8" s="7"/>
      <c r="L8" s="9"/>
    </row>
    <row r="9" spans="1:12" s="12" customFormat="1">
      <c r="A9" s="4"/>
      <c r="B9" s="4">
        <f>VLOOKUP(C9,MtimShipmentLot!B9:C389,2,0)</f>
        <v>7</v>
      </c>
      <c r="C9" s="22" t="s">
        <v>35</v>
      </c>
      <c r="D9" s="26" t="s">
        <v>36</v>
      </c>
      <c r="E9" s="4"/>
      <c r="F9" s="22" t="s">
        <v>27</v>
      </c>
      <c r="G9" s="4"/>
      <c r="H9" s="4"/>
      <c r="I9" s="69"/>
      <c r="J9" s="67" t="s">
        <v>37</v>
      </c>
      <c r="K9" s="4"/>
      <c r="L9" s="4"/>
    </row>
    <row r="10" spans="1:12">
      <c r="A10" s="4"/>
      <c r="B10" s="4">
        <f>VLOOKUP(C10,MtimShipmentLot!B10:C390,2,0)</f>
        <v>8</v>
      </c>
      <c r="C10" s="22" t="s">
        <v>38</v>
      </c>
      <c r="D10" s="26" t="s">
        <v>39</v>
      </c>
      <c r="E10" s="4"/>
      <c r="F10" s="22" t="s">
        <v>27</v>
      </c>
      <c r="G10" s="8"/>
      <c r="H10" s="13"/>
      <c r="I10" s="69"/>
      <c r="J10" s="67" t="s">
        <v>40</v>
      </c>
      <c r="K10" s="14"/>
      <c r="L10" s="13"/>
    </row>
    <row r="11" spans="1:12">
      <c r="A11" s="4"/>
      <c r="B11" s="4">
        <f>VLOOKUP(C11,MtimShipmentLot!B11:C391,2,0)</f>
        <v>11</v>
      </c>
      <c r="C11" s="22" t="s">
        <v>41</v>
      </c>
      <c r="D11" s="26" t="s">
        <v>42</v>
      </c>
      <c r="E11" s="4"/>
      <c r="F11" s="22" t="s">
        <v>27</v>
      </c>
      <c r="G11" s="8"/>
      <c r="H11" s="13"/>
      <c r="I11" s="69"/>
      <c r="J11" s="67" t="s">
        <v>43</v>
      </c>
      <c r="K11" s="14"/>
      <c r="L11" s="13"/>
    </row>
    <row r="12" spans="1:12" s="6" customFormat="1">
      <c r="A12" s="4"/>
      <c r="B12" s="4">
        <f>VLOOKUP(C12,MtimShipmentLot!B12:C392,2,0)</f>
        <v>13</v>
      </c>
      <c r="C12" s="22" t="s">
        <v>44</v>
      </c>
      <c r="D12" s="26" t="s">
        <v>45</v>
      </c>
      <c r="E12" s="4"/>
      <c r="F12" s="22" t="s">
        <v>27</v>
      </c>
      <c r="G12" s="8"/>
      <c r="H12" s="8"/>
      <c r="I12" s="69"/>
      <c r="J12" s="67" t="s">
        <v>46</v>
      </c>
      <c r="K12" s="65"/>
      <c r="L12" s="5"/>
    </row>
    <row r="13" spans="1:12" s="10" customFormat="1">
      <c r="A13" s="4"/>
      <c r="B13" s="4">
        <f>VLOOKUP(C13,MtimShipmentLot!B13:C393,2,0)</f>
        <v>14</v>
      </c>
      <c r="C13" s="22" t="s">
        <v>47</v>
      </c>
      <c r="D13" s="26" t="s">
        <v>48</v>
      </c>
      <c r="E13" s="4"/>
      <c r="F13" s="22" t="s">
        <v>27</v>
      </c>
      <c r="G13" s="8"/>
      <c r="H13" s="8"/>
      <c r="I13" s="69"/>
      <c r="J13" s="67" t="s">
        <v>49</v>
      </c>
      <c r="K13" s="65"/>
      <c r="L13" s="9"/>
    </row>
    <row r="14" spans="1:12">
      <c r="A14" s="4"/>
      <c r="B14" s="4">
        <f>VLOOKUP(C14,MtimShipmentLot!B14:C394,2,0)</f>
        <v>15</v>
      </c>
      <c r="C14" s="22" t="s">
        <v>50</v>
      </c>
      <c r="D14" s="26" t="s">
        <v>51</v>
      </c>
      <c r="E14" s="4"/>
      <c r="F14" s="22" t="s">
        <v>27</v>
      </c>
      <c r="G14" s="5"/>
      <c r="H14" s="14"/>
      <c r="I14" s="69"/>
      <c r="J14" s="67" t="s">
        <v>52</v>
      </c>
      <c r="K14" s="14"/>
      <c r="L14" s="17"/>
    </row>
    <row r="15" spans="1:12" s="6" customFormat="1">
      <c r="A15" s="4"/>
      <c r="B15" s="4">
        <f>VLOOKUP(C15,MtimShipmentLot!B15:C395,2,0)</f>
        <v>16</v>
      </c>
      <c r="C15" s="22" t="s">
        <v>53</v>
      </c>
      <c r="D15" s="26" t="s">
        <v>54</v>
      </c>
      <c r="E15" s="4"/>
      <c r="F15" s="22" t="s">
        <v>20</v>
      </c>
      <c r="G15" s="8"/>
      <c r="H15" s="5"/>
      <c r="I15" s="65"/>
      <c r="J15" s="70" t="s">
        <v>55</v>
      </c>
      <c r="K15" s="3"/>
      <c r="L15" s="5"/>
    </row>
    <row r="16" spans="1:12" s="10" customFormat="1">
      <c r="A16" s="4"/>
      <c r="B16" s="4">
        <f>VLOOKUP(C16,MtimShipmentLot!B16:C396,2,0)</f>
        <v>17</v>
      </c>
      <c r="C16" s="22" t="s">
        <v>56</v>
      </c>
      <c r="D16" s="26" t="s">
        <v>57</v>
      </c>
      <c r="E16" s="4"/>
      <c r="F16" s="22" t="s">
        <v>27</v>
      </c>
      <c r="G16" s="8"/>
      <c r="H16" s="9"/>
      <c r="I16" s="65"/>
      <c r="J16" s="70" t="s">
        <v>58</v>
      </c>
      <c r="K16" s="7"/>
      <c r="L16" s="9"/>
    </row>
    <row r="17" spans="1:12" s="12" customFormat="1">
      <c r="A17" s="4"/>
      <c r="B17" s="4">
        <f>VLOOKUP(C17,MtimShipmentLot!B17:C397,2,0)</f>
        <v>20</v>
      </c>
      <c r="C17" s="22" t="s">
        <v>59</v>
      </c>
      <c r="D17" s="26" t="s">
        <v>60</v>
      </c>
      <c r="E17" s="4"/>
      <c r="F17" s="22" t="s">
        <v>27</v>
      </c>
      <c r="G17" s="8"/>
      <c r="H17" s="11"/>
      <c r="I17" s="65"/>
      <c r="J17" s="67" t="s">
        <v>61</v>
      </c>
      <c r="K17" s="8"/>
      <c r="L17" s="7"/>
    </row>
    <row r="18" spans="1:12">
      <c r="A18" s="4"/>
      <c r="B18" s="4">
        <f>VLOOKUP(C18,MtimShipmentLot!B18:C398,2,0)</f>
        <v>21</v>
      </c>
      <c r="C18" s="22" t="s">
        <v>62</v>
      </c>
      <c r="D18" s="26" t="s">
        <v>63</v>
      </c>
      <c r="E18" s="4"/>
      <c r="F18" s="22" t="s">
        <v>27</v>
      </c>
      <c r="G18" s="8"/>
      <c r="H18" s="13"/>
      <c r="I18" s="65"/>
      <c r="J18" s="67" t="s">
        <v>64</v>
      </c>
      <c r="K18" s="14"/>
      <c r="L18" s="13"/>
    </row>
    <row r="19" spans="1:12">
      <c r="A19" s="4"/>
      <c r="B19" s="4">
        <f>VLOOKUP(C19,MtimShipmentLot!B19:C399,2,0)</f>
        <v>22</v>
      </c>
      <c r="C19" s="22" t="s">
        <v>65</v>
      </c>
      <c r="D19" s="26" t="s">
        <v>66</v>
      </c>
      <c r="E19" s="4"/>
      <c r="F19" s="22" t="s">
        <v>27</v>
      </c>
      <c r="G19" s="8"/>
      <c r="H19" s="13"/>
      <c r="I19" s="65"/>
      <c r="J19" s="67" t="s">
        <v>67</v>
      </c>
      <c r="K19" s="14"/>
      <c r="L19" s="13"/>
    </row>
    <row r="20" spans="1:12" s="6" customFormat="1">
      <c r="A20" s="4"/>
      <c r="B20" s="4">
        <f>VLOOKUP(C20,MtimShipmentLot!B20:C400,2,0)</f>
        <v>23</v>
      </c>
      <c r="C20" s="22" t="s">
        <v>68</v>
      </c>
      <c r="D20" s="23" t="s">
        <v>69</v>
      </c>
      <c r="E20" s="4"/>
      <c r="F20" s="22" t="s">
        <v>27</v>
      </c>
      <c r="G20" s="8"/>
      <c r="H20" s="8"/>
      <c r="I20" s="65"/>
      <c r="J20" s="67" t="s">
        <v>70</v>
      </c>
      <c r="K20" s="65"/>
      <c r="L20" s="5"/>
    </row>
    <row r="21" spans="1:12" s="10" customFormat="1">
      <c r="A21" s="4"/>
      <c r="B21" s="4">
        <f>VLOOKUP(C21,MtimShipmentLot!B21:C401,2,0)</f>
        <v>26</v>
      </c>
      <c r="C21" s="22" t="s">
        <v>71</v>
      </c>
      <c r="D21" s="23" t="s">
        <v>72</v>
      </c>
      <c r="E21" s="4"/>
      <c r="F21" s="22" t="s">
        <v>27</v>
      </c>
      <c r="G21" s="8"/>
      <c r="H21" s="8"/>
      <c r="I21" s="65"/>
      <c r="J21" s="67" t="s">
        <v>73</v>
      </c>
      <c r="K21" s="65"/>
      <c r="L21" s="9"/>
    </row>
    <row r="22" spans="1:12">
      <c r="A22" s="4"/>
      <c r="B22" s="4">
        <f>VLOOKUP(C22,MtimShipmentLot!B22:C402,2,0)</f>
        <v>28</v>
      </c>
      <c r="C22" s="22" t="s">
        <v>74</v>
      </c>
      <c r="D22" s="26" t="s">
        <v>75</v>
      </c>
      <c r="E22" s="4"/>
      <c r="F22" s="22" t="s">
        <v>27</v>
      </c>
      <c r="G22" s="5"/>
      <c r="H22" s="14"/>
      <c r="I22" s="65"/>
      <c r="J22" s="67" t="s">
        <v>76</v>
      </c>
      <c r="K22" s="14"/>
      <c r="L22" s="17"/>
    </row>
    <row r="23" spans="1:12" s="6" customFormat="1">
      <c r="A23" s="4"/>
      <c r="B23" s="4">
        <f>VLOOKUP(C23,MtimShipmentLot!B23:C403,2,0)</f>
        <v>29</v>
      </c>
      <c r="C23" s="22" t="s">
        <v>77</v>
      </c>
      <c r="D23" s="26" t="s">
        <v>78</v>
      </c>
      <c r="E23" s="4"/>
      <c r="F23" s="22" t="s">
        <v>27</v>
      </c>
      <c r="G23" s="8"/>
      <c r="H23" s="5"/>
      <c r="I23" s="65"/>
      <c r="J23" s="67" t="s">
        <v>79</v>
      </c>
      <c r="K23" s="3"/>
      <c r="L23" s="5"/>
    </row>
    <row r="24" spans="1:12" s="10" customFormat="1">
      <c r="A24" s="4"/>
      <c r="B24" s="4">
        <f>VLOOKUP(C24,MtimShipmentLot!B24:C404,2,0)</f>
        <v>30</v>
      </c>
      <c r="C24" s="22" t="s">
        <v>80</v>
      </c>
      <c r="D24" s="26" t="s">
        <v>81</v>
      </c>
      <c r="E24" s="4"/>
      <c r="F24" s="22" t="s">
        <v>27</v>
      </c>
      <c r="G24" s="8"/>
      <c r="H24" s="9"/>
      <c r="I24" s="65"/>
      <c r="J24" s="67" t="s">
        <v>82</v>
      </c>
      <c r="K24" s="7"/>
      <c r="L24" s="9"/>
    </row>
    <row r="25" spans="1:12" s="12" customFormat="1" ht="31.5">
      <c r="A25" s="4"/>
      <c r="B25" s="4">
        <f>VLOOKUP(C25,MtimShipmentLot!B25:C405,2,0)</f>
        <v>31</v>
      </c>
      <c r="C25" s="22" t="s">
        <v>83</v>
      </c>
      <c r="D25" s="26" t="s">
        <v>84</v>
      </c>
      <c r="E25" s="70" t="s">
        <v>85</v>
      </c>
      <c r="F25" s="22" t="s">
        <v>27</v>
      </c>
      <c r="G25" s="8"/>
      <c r="H25" s="11"/>
      <c r="I25" s="65"/>
      <c r="J25" s="18" t="s">
        <v>86</v>
      </c>
      <c r="K25" s="8"/>
      <c r="L25" s="71" t="s">
        <v>87</v>
      </c>
    </row>
    <row r="26" spans="1:12">
      <c r="A26" s="4"/>
      <c r="B26" s="4">
        <f>VLOOKUP(C26,MtimShipmentLot!B26:C406,2,0)</f>
        <v>33</v>
      </c>
      <c r="C26" s="22" t="s">
        <v>88</v>
      </c>
      <c r="D26" s="26" t="s">
        <v>89</v>
      </c>
      <c r="E26" s="4"/>
      <c r="F26" s="22" t="s">
        <v>27</v>
      </c>
      <c r="G26" s="8"/>
      <c r="H26" s="13"/>
      <c r="I26" s="69"/>
      <c r="J26" s="18"/>
      <c r="K26" s="14"/>
      <c r="L26" s="13"/>
    </row>
    <row r="27" spans="1:12" ht="31.5">
      <c r="A27" s="4"/>
      <c r="B27" s="4">
        <f>VLOOKUP(C27,MtimShipmentLot!B27:C407,2,0)</f>
        <v>34</v>
      </c>
      <c r="C27" s="22" t="s">
        <v>90</v>
      </c>
      <c r="D27" s="26" t="s">
        <v>91</v>
      </c>
      <c r="E27" s="70" t="s">
        <v>85</v>
      </c>
      <c r="F27" s="22" t="s">
        <v>20</v>
      </c>
      <c r="G27" s="8"/>
      <c r="H27" s="13"/>
      <c r="I27" s="65"/>
      <c r="J27" s="19" t="s">
        <v>92</v>
      </c>
      <c r="K27" s="14"/>
      <c r="L27" s="71" t="s">
        <v>93</v>
      </c>
    </row>
    <row r="28" spans="1:12" s="6" customFormat="1" ht="31.5">
      <c r="A28" s="4"/>
      <c r="B28" s="4">
        <f>VLOOKUP(C28,MtimShipmentLot!B28:C408,2,0)</f>
        <v>35</v>
      </c>
      <c r="C28" s="22" t="s">
        <v>94</v>
      </c>
      <c r="D28" s="26" t="s">
        <v>95</v>
      </c>
      <c r="E28" s="70" t="s">
        <v>85</v>
      </c>
      <c r="F28" s="22" t="s">
        <v>20</v>
      </c>
      <c r="G28" s="8"/>
      <c r="H28" s="8"/>
      <c r="I28" s="65"/>
      <c r="J28" s="19" t="s">
        <v>96</v>
      </c>
      <c r="K28" s="65"/>
      <c r="L28" s="71" t="s">
        <v>93</v>
      </c>
    </row>
    <row r="29" spans="1:12" s="10" customFormat="1" ht="31.5">
      <c r="A29" s="4"/>
      <c r="B29" s="4">
        <f>VLOOKUP(C29,MtimShipmentLot!B29:C409,2,0)</f>
        <v>36</v>
      </c>
      <c r="C29" s="22" t="s">
        <v>97</v>
      </c>
      <c r="D29" s="26" t="s">
        <v>98</v>
      </c>
      <c r="E29" s="70" t="s">
        <v>85</v>
      </c>
      <c r="F29" s="22" t="s">
        <v>27</v>
      </c>
      <c r="G29" s="8"/>
      <c r="H29" s="8"/>
      <c r="I29" s="65"/>
      <c r="J29" s="19" t="s">
        <v>99</v>
      </c>
      <c r="K29" s="65"/>
      <c r="L29" s="71" t="s">
        <v>100</v>
      </c>
    </row>
    <row r="30" spans="1:12">
      <c r="A30" s="4"/>
      <c r="B30" s="4">
        <f>VLOOKUP(C30,MtimShipmentLot!B30:C410,2,0)</f>
        <v>37</v>
      </c>
      <c r="C30" s="22" t="s">
        <v>101</v>
      </c>
      <c r="D30" s="26" t="s">
        <v>102</v>
      </c>
      <c r="E30" s="4"/>
      <c r="F30" s="22" t="s">
        <v>27</v>
      </c>
      <c r="G30" s="5"/>
      <c r="H30" s="14"/>
      <c r="I30" s="69"/>
      <c r="J30" s="67" t="s">
        <v>103</v>
      </c>
      <c r="K30" s="14"/>
      <c r="L30" s="17"/>
    </row>
    <row r="31" spans="1:12" s="6" customFormat="1" ht="31.5">
      <c r="A31" s="4"/>
      <c r="B31" s="4">
        <f>VLOOKUP(C31,MtimShipmentLot!B31:C411,2,0)</f>
        <v>38</v>
      </c>
      <c r="C31" s="22" t="s">
        <v>104</v>
      </c>
      <c r="D31" s="26" t="s">
        <v>105</v>
      </c>
      <c r="E31" s="70" t="s">
        <v>85</v>
      </c>
      <c r="F31" s="22" t="s">
        <v>27</v>
      </c>
      <c r="G31" s="8"/>
      <c r="H31" s="5"/>
      <c r="I31" s="65"/>
      <c r="J31" s="19" t="s">
        <v>106</v>
      </c>
      <c r="K31" s="3"/>
      <c r="L31" s="71" t="s">
        <v>100</v>
      </c>
    </row>
    <row r="32" spans="1:12" s="10" customFormat="1" ht="31.5">
      <c r="A32" s="4"/>
      <c r="B32" s="4">
        <f>VLOOKUP(C32,MtimShipmentLot!B32:C412,2,0)</f>
        <v>39</v>
      </c>
      <c r="C32" s="22" t="s">
        <v>107</v>
      </c>
      <c r="D32" s="26" t="s">
        <v>108</v>
      </c>
      <c r="E32" s="70" t="s">
        <v>85</v>
      </c>
      <c r="F32" s="22" t="s">
        <v>27</v>
      </c>
      <c r="G32" s="8"/>
      <c r="H32" s="9"/>
      <c r="I32" s="68"/>
      <c r="J32" s="19" t="s">
        <v>109</v>
      </c>
      <c r="K32" s="7"/>
      <c r="L32" s="71" t="s">
        <v>100</v>
      </c>
    </row>
    <row r="33" spans="1:12" s="12" customFormat="1">
      <c r="A33" s="4"/>
      <c r="B33" s="4">
        <f>VLOOKUP(C33,MtimShipmentLot!B33:C413,2,0)</f>
        <v>40</v>
      </c>
      <c r="C33" s="22" t="s">
        <v>110</v>
      </c>
      <c r="D33" s="26" t="s">
        <v>111</v>
      </c>
      <c r="E33" s="4"/>
      <c r="F33" s="22" t="s">
        <v>27</v>
      </c>
      <c r="G33" s="8"/>
      <c r="H33" s="11"/>
      <c r="I33" s="68"/>
      <c r="J33" s="19" t="s">
        <v>112</v>
      </c>
      <c r="K33" s="8"/>
      <c r="L33" s="7"/>
    </row>
    <row r="34" spans="1:12" ht="21">
      <c r="A34" s="4"/>
      <c r="B34" s="4">
        <f>VLOOKUP(C34,MtimShipmentLot!B34:C414,2,0)</f>
        <v>41</v>
      </c>
      <c r="C34" s="22" t="s">
        <v>113</v>
      </c>
      <c r="D34" s="26" t="s">
        <v>114</v>
      </c>
      <c r="E34" s="4"/>
      <c r="F34" s="22" t="s">
        <v>27</v>
      </c>
      <c r="G34" s="8"/>
      <c r="H34" s="13"/>
      <c r="I34" s="68"/>
      <c r="J34" s="18" t="s">
        <v>115</v>
      </c>
      <c r="K34" s="70" t="s">
        <v>116</v>
      </c>
      <c r="L34" s="13"/>
    </row>
    <row r="35" spans="1:12">
      <c r="A35" s="4"/>
      <c r="B35" s="4">
        <f>VLOOKUP(C35,MtimShipmentLot!B35:C415,2,0)</f>
        <v>42</v>
      </c>
      <c r="C35" s="22" t="s">
        <v>117</v>
      </c>
      <c r="D35" s="23" t="s">
        <v>118</v>
      </c>
      <c r="E35" s="4"/>
      <c r="F35" s="22" t="s">
        <v>27</v>
      </c>
      <c r="G35" s="8"/>
      <c r="H35" s="13"/>
      <c r="I35" s="69"/>
      <c r="J35" s="67" t="s">
        <v>119</v>
      </c>
      <c r="K35" s="14"/>
      <c r="L35" s="13"/>
    </row>
    <row r="36" spans="1:12" s="6" customFormat="1">
      <c r="A36" s="4"/>
      <c r="B36" s="4">
        <f>VLOOKUP(C36,MtimShipmentLot!B36:C416,2,0)</f>
        <v>43</v>
      </c>
      <c r="C36" s="22" t="s">
        <v>120</v>
      </c>
      <c r="D36" s="23" t="s">
        <v>121</v>
      </c>
      <c r="E36" s="4"/>
      <c r="F36" s="22" t="s">
        <v>27</v>
      </c>
      <c r="G36" s="8"/>
      <c r="H36" s="8"/>
      <c r="I36" s="65"/>
      <c r="J36" s="4" t="s">
        <v>122</v>
      </c>
      <c r="K36" s="65"/>
      <c r="L36" s="5"/>
    </row>
    <row r="37" spans="1:12" s="10" customFormat="1">
      <c r="A37" s="4"/>
      <c r="B37" s="4">
        <f>VLOOKUP(C37,MtimShipmentLot!B37:C417,2,0)</f>
        <v>44</v>
      </c>
      <c r="C37" s="22" t="s">
        <v>123</v>
      </c>
      <c r="D37" s="23" t="s">
        <v>124</v>
      </c>
      <c r="E37" s="4"/>
      <c r="F37" s="22" t="s">
        <v>27</v>
      </c>
      <c r="G37" s="8"/>
      <c r="H37" s="8"/>
      <c r="I37" s="68"/>
      <c r="J37" s="67" t="s">
        <v>125</v>
      </c>
      <c r="K37" s="65"/>
      <c r="L37" s="9"/>
    </row>
    <row r="38" spans="1:12">
      <c r="A38" s="4"/>
      <c r="B38" s="4">
        <f>VLOOKUP(C38,MtimShipmentLot!B38:C418,2,0)</f>
        <v>45</v>
      </c>
      <c r="C38" s="22" t="s">
        <v>126</v>
      </c>
      <c r="D38" s="23" t="s">
        <v>127</v>
      </c>
      <c r="E38" s="70"/>
      <c r="F38" s="22" t="s">
        <v>27</v>
      </c>
      <c r="G38" s="5"/>
      <c r="H38" s="14"/>
      <c r="I38" s="69"/>
      <c r="J38" s="8" t="s">
        <v>128</v>
      </c>
      <c r="K38" s="65"/>
      <c r="L38" s="71"/>
    </row>
    <row r="39" spans="1:12" s="6" customFormat="1">
      <c r="A39" s="4"/>
      <c r="B39" s="4">
        <f>VLOOKUP(C39,MtimShipmentLot!B39:C419,2,0)</f>
        <v>46</v>
      </c>
      <c r="C39" s="22" t="s">
        <v>129</v>
      </c>
      <c r="D39" s="23" t="s">
        <v>130</v>
      </c>
      <c r="E39" s="70"/>
      <c r="F39" s="22" t="s">
        <v>27</v>
      </c>
      <c r="G39" s="8"/>
      <c r="H39" s="5"/>
      <c r="I39" s="65"/>
      <c r="J39" s="5" t="s">
        <v>131</v>
      </c>
      <c r="K39" s="65"/>
      <c r="L39" s="71"/>
    </row>
    <row r="40" spans="1:12" s="10" customFormat="1">
      <c r="A40" s="4"/>
      <c r="B40" s="4">
        <f>VLOOKUP(C40,MtimShipmentLot!B40:C420,2,0)</f>
        <v>47</v>
      </c>
      <c r="C40" s="22" t="s">
        <v>132</v>
      </c>
      <c r="D40" s="23" t="s">
        <v>133</v>
      </c>
      <c r="E40" s="4"/>
      <c r="F40" s="22" t="s">
        <v>20</v>
      </c>
      <c r="G40" s="8"/>
      <c r="H40" s="9"/>
      <c r="I40" s="68"/>
      <c r="J40" s="8"/>
      <c r="K40" s="5" t="s">
        <v>134</v>
      </c>
      <c r="L40" s="9"/>
    </row>
    <row r="41" spans="1:12" s="12" customFormat="1">
      <c r="A41" s="4"/>
      <c r="B41" s="4">
        <f>VLOOKUP(C41,MtimShipmentLot!B41:C421,2,0)</f>
        <v>48</v>
      </c>
      <c r="C41" s="22" t="s">
        <v>135</v>
      </c>
      <c r="D41" s="23" t="s">
        <v>136</v>
      </c>
      <c r="E41" s="4"/>
      <c r="F41" s="22" t="s">
        <v>27</v>
      </c>
      <c r="G41" s="8"/>
      <c r="H41" s="11"/>
      <c r="I41" s="68"/>
      <c r="J41" s="4" t="s">
        <v>137</v>
      </c>
      <c r="K41" s="8"/>
      <c r="L41" s="7"/>
    </row>
    <row r="42" spans="1:12">
      <c r="A42" s="4"/>
      <c r="B42" s="4">
        <f>VLOOKUP(C42,MtimShipmentLot!B42:C422,2,0)</f>
        <v>49</v>
      </c>
      <c r="C42" s="22" t="s">
        <v>138</v>
      </c>
      <c r="D42" s="23" t="s">
        <v>139</v>
      </c>
      <c r="E42" s="4"/>
      <c r="F42" s="22" t="s">
        <v>27</v>
      </c>
      <c r="G42" s="8"/>
      <c r="H42" s="13"/>
      <c r="I42" s="69"/>
      <c r="J42" s="72" t="s">
        <v>140</v>
      </c>
      <c r="K42" s="14"/>
      <c r="L42" s="13"/>
    </row>
    <row r="43" spans="1:12">
      <c r="A43" s="4"/>
      <c r="B43" s="4">
        <f>VLOOKUP(C43,MtimShipmentLot!B43:C423,2,0)</f>
        <v>51</v>
      </c>
      <c r="C43" s="22" t="s">
        <v>141</v>
      </c>
      <c r="D43" s="23" t="s">
        <v>142</v>
      </c>
      <c r="E43" s="4"/>
      <c r="F43" s="22" t="s">
        <v>27</v>
      </c>
      <c r="G43" s="8"/>
      <c r="H43" s="13"/>
      <c r="I43" s="69"/>
      <c r="J43" s="67" t="s">
        <v>143</v>
      </c>
      <c r="K43" s="14"/>
      <c r="L43" s="13"/>
    </row>
    <row r="44" spans="1:12" s="6" customFormat="1">
      <c r="A44" s="4"/>
      <c r="B44" s="4">
        <f>VLOOKUP(C44,MtimShipmentLot!B44:C424,2,0)</f>
        <v>52</v>
      </c>
      <c r="C44" s="22" t="s">
        <v>144</v>
      </c>
      <c r="D44" s="27" t="s">
        <v>145</v>
      </c>
      <c r="E44" s="4"/>
      <c r="F44" s="22" t="s">
        <v>27</v>
      </c>
      <c r="G44" s="8"/>
      <c r="H44" s="8"/>
      <c r="I44" s="65"/>
      <c r="J44" s="67" t="s">
        <v>146</v>
      </c>
      <c r="K44" s="65"/>
      <c r="L44" s="5"/>
    </row>
    <row r="45" spans="1:12" s="10" customFormat="1">
      <c r="A45" s="4"/>
      <c r="B45" s="4">
        <f>VLOOKUP(C45,MtimShipmentLot!B45:C425,2,0)</f>
        <v>54</v>
      </c>
      <c r="C45" s="22" t="s">
        <v>147</v>
      </c>
      <c r="D45" s="23" t="s">
        <v>148</v>
      </c>
      <c r="E45" s="4"/>
      <c r="F45" s="22" t="s">
        <v>27</v>
      </c>
      <c r="G45" s="8"/>
      <c r="H45" s="8"/>
      <c r="I45" s="68"/>
      <c r="J45" s="19" t="s">
        <v>149</v>
      </c>
      <c r="K45" s="70"/>
      <c r="L45" s="9"/>
    </row>
    <row r="46" spans="1:12">
      <c r="A46" s="4"/>
      <c r="B46" s="4">
        <f>VLOOKUP(C46,MtimShipmentLot!B46:C426,2,0)</f>
        <v>55</v>
      </c>
      <c r="C46" s="22" t="s">
        <v>150</v>
      </c>
      <c r="D46" s="23" t="s">
        <v>151</v>
      </c>
      <c r="E46" s="4"/>
      <c r="F46" s="22" t="s">
        <v>20</v>
      </c>
      <c r="G46" s="5"/>
      <c r="H46" s="14"/>
      <c r="I46" s="69"/>
      <c r="J46" s="70" t="s">
        <v>152</v>
      </c>
      <c r="K46" s="14"/>
      <c r="L46" s="17"/>
    </row>
    <row r="47" spans="1:12" s="6" customFormat="1">
      <c r="A47" s="4"/>
      <c r="B47" s="4">
        <f>VLOOKUP(C47,MtimShipmentLot!B47:C427,2,0)</f>
        <v>56</v>
      </c>
      <c r="C47" s="22" t="s">
        <v>153</v>
      </c>
      <c r="D47" s="23" t="s">
        <v>154</v>
      </c>
      <c r="E47" s="4"/>
      <c r="F47" s="22" t="s">
        <v>27</v>
      </c>
      <c r="G47" s="8"/>
      <c r="H47" s="5"/>
      <c r="I47" s="65"/>
      <c r="J47" s="4" t="s">
        <v>155</v>
      </c>
      <c r="K47" s="3"/>
      <c r="L47" s="5"/>
    </row>
    <row r="48" spans="1:12" s="10" customFormat="1">
      <c r="A48" s="4"/>
      <c r="B48" s="4">
        <f>VLOOKUP(C48,MtimShipmentLot!B48:C428,2,0)</f>
        <v>58</v>
      </c>
      <c r="C48" s="22" t="s">
        <v>156</v>
      </c>
      <c r="D48" s="23" t="s">
        <v>157</v>
      </c>
      <c r="E48" s="4"/>
      <c r="F48" s="22" t="s">
        <v>27</v>
      </c>
      <c r="G48" s="8"/>
      <c r="H48" s="9"/>
      <c r="I48" s="68"/>
      <c r="J48" s="8" t="s">
        <v>158</v>
      </c>
      <c r="K48" s="7"/>
      <c r="L48" s="9"/>
    </row>
    <row r="49" spans="1:12" s="12" customFormat="1">
      <c r="A49" s="4"/>
      <c r="B49" s="4">
        <f>VLOOKUP(C49,MtimShipmentLot!B49:C429,2,0)</f>
        <v>59</v>
      </c>
      <c r="C49" s="22" t="s">
        <v>159</v>
      </c>
      <c r="D49" s="23" t="s">
        <v>160</v>
      </c>
      <c r="E49" s="4"/>
      <c r="F49" s="22" t="s">
        <v>27</v>
      </c>
      <c r="G49" s="8"/>
      <c r="H49" s="11"/>
      <c r="I49" s="68"/>
      <c r="J49" s="72" t="s">
        <v>161</v>
      </c>
      <c r="K49" s="8"/>
      <c r="L49" s="7"/>
    </row>
    <row r="50" spans="1:12">
      <c r="A50" s="4"/>
      <c r="B50" s="4">
        <f>VLOOKUP(C50,MtimShipmentLot!B50:C430,2,0)</f>
        <v>60</v>
      </c>
      <c r="C50" s="22" t="s">
        <v>162</v>
      </c>
      <c r="D50" s="23" t="s">
        <v>163</v>
      </c>
      <c r="E50" s="4"/>
      <c r="F50" s="22" t="s">
        <v>27</v>
      </c>
      <c r="G50" s="8"/>
      <c r="H50" s="13"/>
      <c r="I50" s="69"/>
      <c r="J50" s="67" t="s">
        <v>164</v>
      </c>
      <c r="K50" s="14"/>
      <c r="L50" s="13"/>
    </row>
    <row r="51" spans="1:12">
      <c r="A51" s="4"/>
      <c r="B51" s="4">
        <f>VLOOKUP(C51,MtimShipmentLot!B51:C431,2,0)</f>
        <v>61</v>
      </c>
      <c r="C51" s="22" t="s">
        <v>165</v>
      </c>
      <c r="D51" s="23" t="s">
        <v>166</v>
      </c>
      <c r="E51" s="4"/>
      <c r="F51" s="22" t="s">
        <v>27</v>
      </c>
      <c r="G51" s="8"/>
      <c r="H51" s="13"/>
      <c r="I51" s="69"/>
      <c r="J51" s="70" t="s">
        <v>167</v>
      </c>
      <c r="K51" s="5"/>
      <c r="L51" s="13"/>
    </row>
    <row r="52" spans="1:12" s="6" customFormat="1">
      <c r="A52" s="4"/>
      <c r="B52" s="4">
        <f>VLOOKUP(C52,MtimShipmentLot!B52:C432,2,0)</f>
        <v>64</v>
      </c>
      <c r="C52" s="22" t="s">
        <v>168</v>
      </c>
      <c r="D52" s="23" t="s">
        <v>169</v>
      </c>
      <c r="E52" s="4"/>
      <c r="F52" s="22" t="s">
        <v>27</v>
      </c>
      <c r="G52" s="8"/>
      <c r="H52" s="8"/>
      <c r="I52" s="65"/>
      <c r="J52" s="4" t="s">
        <v>170</v>
      </c>
      <c r="K52" s="65"/>
      <c r="L52" s="5"/>
    </row>
    <row r="53" spans="1:12" s="10" customFormat="1">
      <c r="A53" s="4"/>
      <c r="B53" s="4">
        <f>VLOOKUP(C53,MtimShipmentLot!B53:C433,2,0)</f>
        <v>66</v>
      </c>
      <c r="C53" s="22" t="s">
        <v>171</v>
      </c>
      <c r="D53" s="23" t="s">
        <v>172</v>
      </c>
      <c r="E53" s="4"/>
      <c r="F53" s="22" t="s">
        <v>27</v>
      </c>
      <c r="G53" s="8"/>
      <c r="H53" s="8"/>
      <c r="I53" s="65"/>
      <c r="J53" s="72" t="s">
        <v>173</v>
      </c>
      <c r="K53" s="65"/>
      <c r="L53" s="9"/>
    </row>
    <row r="54" spans="1:12">
      <c r="A54" s="4"/>
      <c r="B54" s="4">
        <f>VLOOKUP(C54,MtimShipmentLot!B54:C434,2,0)</f>
        <v>67</v>
      </c>
      <c r="C54" s="22" t="s">
        <v>174</v>
      </c>
      <c r="D54" s="23" t="s">
        <v>175</v>
      </c>
      <c r="E54" s="4"/>
      <c r="F54" s="22" t="s">
        <v>27</v>
      </c>
      <c r="G54" s="5"/>
      <c r="H54" s="14"/>
      <c r="I54" s="65"/>
      <c r="J54" s="67" t="s">
        <v>176</v>
      </c>
      <c r="K54" s="14"/>
      <c r="L54" s="17"/>
    </row>
    <row r="55" spans="1:12" s="6" customFormat="1">
      <c r="A55" s="4"/>
      <c r="B55" s="4">
        <f>VLOOKUP(C55,MtimShipmentLot!B55:C435,2,0)</f>
        <v>68</v>
      </c>
      <c r="C55" s="22" t="s">
        <v>177</v>
      </c>
      <c r="D55" s="23" t="s">
        <v>178</v>
      </c>
      <c r="E55" s="4"/>
      <c r="F55" s="22" t="s">
        <v>27</v>
      </c>
      <c r="G55" s="8"/>
      <c r="H55" s="5"/>
      <c r="I55" s="65"/>
      <c r="J55" s="70" t="s">
        <v>179</v>
      </c>
      <c r="K55" s="3"/>
      <c r="L55" s="5"/>
    </row>
    <row r="56" spans="1:12" s="10" customFormat="1">
      <c r="A56" s="4"/>
      <c r="B56" s="4">
        <f>VLOOKUP(C56,MtimShipmentLot!B56:C436,2,0)</f>
        <v>69</v>
      </c>
      <c r="C56" s="22" t="s">
        <v>180</v>
      </c>
      <c r="D56" s="23" t="s">
        <v>181</v>
      </c>
      <c r="E56" s="4"/>
      <c r="F56" s="22" t="s">
        <v>27</v>
      </c>
      <c r="G56" s="8"/>
      <c r="H56" s="9"/>
      <c r="I56" s="65"/>
      <c r="J56" s="70" t="s">
        <v>182</v>
      </c>
      <c r="K56" s="7"/>
      <c r="L56" s="9"/>
    </row>
    <row r="57" spans="1:12" s="12" customFormat="1">
      <c r="A57" s="4"/>
      <c r="B57" s="4">
        <f>VLOOKUP(C57,MtimShipmentLot!B57:C437,2,0)</f>
        <v>70</v>
      </c>
      <c r="C57" s="22" t="s">
        <v>183</v>
      </c>
      <c r="D57" s="23" t="s">
        <v>184</v>
      </c>
      <c r="E57" s="4"/>
      <c r="F57" s="22" t="s">
        <v>27</v>
      </c>
      <c r="G57" s="8"/>
      <c r="H57" s="11"/>
      <c r="I57" s="68"/>
      <c r="J57" s="8" t="s">
        <v>185</v>
      </c>
      <c r="K57" s="8"/>
      <c r="L57" s="7"/>
    </row>
    <row r="58" spans="1:12">
      <c r="A58" s="4"/>
      <c r="B58" s="4">
        <f>VLOOKUP(C58,MtimShipmentLot!B58:C438,2,0)</f>
        <v>71</v>
      </c>
      <c r="C58" s="22" t="s">
        <v>186</v>
      </c>
      <c r="D58" s="23" t="s">
        <v>187</v>
      </c>
      <c r="E58" s="4"/>
      <c r="F58" s="22" t="s">
        <v>27</v>
      </c>
      <c r="G58" s="8"/>
      <c r="H58" s="13"/>
      <c r="I58" s="69"/>
      <c r="J58" s="72" t="s">
        <v>188</v>
      </c>
      <c r="K58" s="14"/>
      <c r="L58" s="13"/>
    </row>
    <row r="59" spans="1:12">
      <c r="A59" s="4"/>
      <c r="B59" s="4">
        <f>VLOOKUP(C59,MtimShipmentLot!B59:C439,2,0)</f>
        <v>72</v>
      </c>
      <c r="C59" s="22" t="s">
        <v>189</v>
      </c>
      <c r="D59" s="23" t="s">
        <v>190</v>
      </c>
      <c r="E59" s="4"/>
      <c r="F59" s="22" t="s">
        <v>27</v>
      </c>
      <c r="G59" s="8"/>
      <c r="H59" s="13"/>
      <c r="I59" s="69"/>
      <c r="J59" s="67" t="s">
        <v>191</v>
      </c>
      <c r="K59" s="14"/>
      <c r="L59" s="13"/>
    </row>
    <row r="60" spans="1:12" s="6" customFormat="1">
      <c r="A60" s="4"/>
      <c r="B60" s="4">
        <f>VLOOKUP(C60,MtimShipmentLot!B60:C440,2,0)</f>
        <v>73</v>
      </c>
      <c r="C60" s="22" t="s">
        <v>192</v>
      </c>
      <c r="D60" s="23" t="s">
        <v>193</v>
      </c>
      <c r="E60" s="4"/>
      <c r="F60" s="22" t="s">
        <v>27</v>
      </c>
      <c r="G60" s="8"/>
      <c r="H60" s="8"/>
      <c r="I60" s="65"/>
      <c r="J60" s="70" t="s">
        <v>194</v>
      </c>
      <c r="K60" s="65"/>
      <c r="L60" s="5"/>
    </row>
    <row r="61" spans="1:12" s="10" customFormat="1">
      <c r="A61" s="4"/>
      <c r="B61" s="4">
        <f>VLOOKUP(C61,MtimShipmentLot!B61:C441,2,0)</f>
        <v>76</v>
      </c>
      <c r="C61" s="22" t="s">
        <v>195</v>
      </c>
      <c r="D61" s="23" t="s">
        <v>196</v>
      </c>
      <c r="E61" s="4"/>
      <c r="F61" s="22" t="s">
        <v>27</v>
      </c>
      <c r="G61" s="8"/>
      <c r="H61" s="8"/>
      <c r="I61" s="68"/>
      <c r="J61" s="4" t="s">
        <v>197</v>
      </c>
      <c r="K61" s="65"/>
      <c r="L61" s="9"/>
    </row>
    <row r="62" spans="1:12">
      <c r="A62" s="4"/>
      <c r="B62" s="4">
        <f>VLOOKUP(C62,MtimShipmentLot!B62:C442,2,0)</f>
        <v>78</v>
      </c>
      <c r="C62" s="22" t="s">
        <v>198</v>
      </c>
      <c r="D62" s="26" t="s">
        <v>199</v>
      </c>
      <c r="E62" s="4"/>
      <c r="F62" s="22" t="s">
        <v>27</v>
      </c>
      <c r="G62" s="5"/>
      <c r="H62" s="14"/>
      <c r="I62" s="69"/>
      <c r="J62" s="72" t="s">
        <v>200</v>
      </c>
      <c r="K62" s="14"/>
      <c r="L62" s="17"/>
    </row>
    <row r="63" spans="1:12" s="6" customFormat="1">
      <c r="A63" s="4"/>
      <c r="B63" s="4">
        <f>VLOOKUP(C63,MtimShipmentLot!B63:C443,2,0)</f>
        <v>79</v>
      </c>
      <c r="C63" s="22" t="s">
        <v>201</v>
      </c>
      <c r="D63" s="26" t="s">
        <v>202</v>
      </c>
      <c r="E63" s="4"/>
      <c r="F63" s="22" t="s">
        <v>27</v>
      </c>
      <c r="G63" s="8"/>
      <c r="H63" s="5"/>
      <c r="I63" s="65"/>
      <c r="J63" s="67" t="s">
        <v>203</v>
      </c>
      <c r="K63" s="3"/>
      <c r="L63" s="5"/>
    </row>
    <row r="64" spans="1:12" s="10" customFormat="1">
      <c r="A64" s="4"/>
      <c r="B64" s="4">
        <f>VLOOKUP(C64,MtimShipmentLot!B64:C444,2,0)</f>
        <v>80</v>
      </c>
      <c r="C64" s="22" t="s">
        <v>204</v>
      </c>
      <c r="D64" s="26" t="s">
        <v>205</v>
      </c>
      <c r="E64" s="4"/>
      <c r="F64" s="22" t="s">
        <v>27</v>
      </c>
      <c r="G64" s="8"/>
      <c r="H64" s="9"/>
      <c r="I64" s="68"/>
      <c r="J64" s="70" t="s">
        <v>206</v>
      </c>
      <c r="K64" s="7"/>
      <c r="L64" s="9"/>
    </row>
    <row r="65" spans="1:12" s="12" customFormat="1">
      <c r="A65" s="4"/>
      <c r="B65" s="4">
        <f>VLOOKUP(C65,MtimShipmentLot!B65:C445,2,0)</f>
        <v>81</v>
      </c>
      <c r="C65" s="22" t="s">
        <v>207</v>
      </c>
      <c r="D65" s="26" t="s">
        <v>208</v>
      </c>
      <c r="E65" s="4"/>
      <c r="F65" s="22" t="s">
        <v>27</v>
      </c>
      <c r="G65" s="8"/>
      <c r="H65" s="11"/>
      <c r="I65" s="69"/>
      <c r="J65" s="70" t="s">
        <v>209</v>
      </c>
      <c r="K65" s="8"/>
      <c r="L65" s="7"/>
    </row>
    <row r="66" spans="1:12">
      <c r="A66" s="4"/>
      <c r="B66" s="4">
        <f>VLOOKUP(C66,MtimShipmentLot!B66:C446,2,0)</f>
        <v>82</v>
      </c>
      <c r="C66" s="22" t="s">
        <v>210</v>
      </c>
      <c r="D66" s="26" t="s">
        <v>211</v>
      </c>
      <c r="E66" s="4"/>
      <c r="F66" s="22" t="s">
        <v>27</v>
      </c>
      <c r="G66" s="8"/>
      <c r="H66" s="13"/>
      <c r="I66" s="69"/>
      <c r="J66" s="8" t="s">
        <v>212</v>
      </c>
      <c r="K66" s="14"/>
      <c r="L66" s="13"/>
    </row>
    <row r="67" spans="1:12">
      <c r="A67" s="4"/>
      <c r="B67" s="4">
        <f>VLOOKUP(C67,MtimShipmentLot!B67:C447,2,0)</f>
        <v>83</v>
      </c>
      <c r="C67" s="22" t="s">
        <v>213</v>
      </c>
      <c r="D67" s="26" t="s">
        <v>214</v>
      </c>
      <c r="E67" s="4"/>
      <c r="F67" s="22" t="s">
        <v>27</v>
      </c>
      <c r="G67" s="8"/>
      <c r="H67" s="13"/>
      <c r="I67" s="69"/>
      <c r="J67" s="72" t="s">
        <v>215</v>
      </c>
      <c r="K67" s="14"/>
      <c r="L67" s="13"/>
    </row>
    <row r="68" spans="1:12" s="6" customFormat="1">
      <c r="A68" s="4"/>
      <c r="B68" s="4">
        <f>VLOOKUP(C68,MtimShipmentLot!B68:C448,2,0)</f>
        <v>84</v>
      </c>
      <c r="C68" s="22" t="s">
        <v>216</v>
      </c>
      <c r="D68" s="26" t="s">
        <v>217</v>
      </c>
      <c r="E68" s="4"/>
      <c r="F68" s="22" t="s">
        <v>27</v>
      </c>
      <c r="G68" s="8"/>
      <c r="H68" s="8"/>
      <c r="I68" s="69"/>
      <c r="J68" s="67" t="s">
        <v>218</v>
      </c>
      <c r="K68" s="65"/>
      <c r="L68" s="5"/>
    </row>
    <row r="69" spans="1:12" s="10" customFormat="1">
      <c r="A69" s="4"/>
      <c r="B69" s="4">
        <f>VLOOKUP(C69,MtimShipmentLot!B69:C449,2,0)</f>
        <v>85</v>
      </c>
      <c r="C69" s="22" t="s">
        <v>219</v>
      </c>
      <c r="D69" s="26" t="s">
        <v>220</v>
      </c>
      <c r="E69" s="4"/>
      <c r="F69" s="22" t="s">
        <v>27</v>
      </c>
      <c r="G69" s="8"/>
      <c r="H69" s="8"/>
      <c r="I69" s="69"/>
      <c r="J69" s="70" t="s">
        <v>221</v>
      </c>
      <c r="K69" s="65"/>
      <c r="L69" s="9"/>
    </row>
    <row r="70" spans="1:12">
      <c r="A70" s="4"/>
      <c r="B70" s="4">
        <f>VLOOKUP(C70,MtimShipmentLot!B70:C450,2,0)</f>
        <v>88</v>
      </c>
      <c r="C70" s="22" t="s">
        <v>222</v>
      </c>
      <c r="D70" s="26" t="s">
        <v>223</v>
      </c>
      <c r="E70" s="4"/>
      <c r="F70" s="22" t="s">
        <v>27</v>
      </c>
      <c r="G70" s="5"/>
      <c r="H70" s="14"/>
      <c r="I70" s="69"/>
      <c r="J70" s="4" t="s">
        <v>224</v>
      </c>
      <c r="K70" s="14"/>
      <c r="L70" s="17"/>
    </row>
    <row r="71" spans="1:12" s="6" customFormat="1">
      <c r="A71" s="4"/>
      <c r="B71" s="4">
        <f>VLOOKUP(C71,MtimShipmentLot!B71:C451,2,0)</f>
        <v>90</v>
      </c>
      <c r="C71" s="22" t="s">
        <v>225</v>
      </c>
      <c r="D71" s="26" t="s">
        <v>226</v>
      </c>
      <c r="E71" s="4"/>
      <c r="F71" s="22" t="s">
        <v>27</v>
      </c>
      <c r="G71" s="8"/>
      <c r="H71" s="5"/>
      <c r="I71" s="69"/>
      <c r="J71" s="72" t="s">
        <v>227</v>
      </c>
      <c r="K71" s="3"/>
      <c r="L71" s="5"/>
    </row>
    <row r="72" spans="1:12" s="10" customFormat="1">
      <c r="A72" s="4"/>
      <c r="B72" s="4">
        <f>VLOOKUP(C72,MtimShipmentLot!B72:C452,2,0)</f>
        <v>91</v>
      </c>
      <c r="C72" s="22" t="s">
        <v>228</v>
      </c>
      <c r="D72" s="26" t="s">
        <v>229</v>
      </c>
      <c r="E72" s="4"/>
      <c r="F72" s="22" t="s">
        <v>27</v>
      </c>
      <c r="G72" s="8"/>
      <c r="H72" s="9"/>
      <c r="I72" s="69"/>
      <c r="J72" s="67" t="s">
        <v>230</v>
      </c>
      <c r="K72" s="7"/>
      <c r="L72" s="9"/>
    </row>
    <row r="73" spans="1:12" s="12" customFormat="1">
      <c r="A73" s="4"/>
      <c r="B73" s="4">
        <f>VLOOKUP(C73,MtimShipmentLot!B73:C453,2,0)</f>
        <v>92</v>
      </c>
      <c r="C73" s="22" t="s">
        <v>231</v>
      </c>
      <c r="D73" s="22" t="s">
        <v>232</v>
      </c>
      <c r="E73" s="4"/>
      <c r="F73" s="22" t="s">
        <v>27</v>
      </c>
      <c r="G73" s="8"/>
      <c r="H73" s="11"/>
      <c r="I73" s="69"/>
      <c r="J73" s="70" t="s">
        <v>233</v>
      </c>
      <c r="K73" s="72"/>
      <c r="L73" s="7"/>
    </row>
    <row r="74" spans="1:12">
      <c r="A74" s="4"/>
      <c r="B74" s="4">
        <f>VLOOKUP(C74,MtimShipmentLot!B74:C454,2,0)</f>
        <v>105</v>
      </c>
      <c r="C74" s="22" t="s">
        <v>234</v>
      </c>
      <c r="D74" s="26" t="s">
        <v>235</v>
      </c>
      <c r="E74" s="4"/>
      <c r="F74" s="22" t="s">
        <v>27</v>
      </c>
      <c r="G74" s="8"/>
      <c r="H74" s="13"/>
      <c r="I74" s="69"/>
      <c r="J74" s="70"/>
      <c r="K74" s="14"/>
      <c r="L74" s="13"/>
    </row>
    <row r="75" spans="1:12">
      <c r="A75" s="4"/>
      <c r="B75" s="4">
        <f>VLOOKUP(C75,MtimShipmentLot!B75:C455,2,0)</f>
        <v>130</v>
      </c>
      <c r="C75" s="22" t="s">
        <v>236</v>
      </c>
      <c r="D75" s="26" t="s">
        <v>237</v>
      </c>
      <c r="E75" s="4"/>
      <c r="F75" s="22" t="s">
        <v>20</v>
      </c>
      <c r="G75" s="8"/>
      <c r="H75" s="13"/>
      <c r="I75" s="69"/>
      <c r="J75" s="70" t="s">
        <v>238</v>
      </c>
      <c r="K75" s="14"/>
      <c r="L75" s="13"/>
    </row>
    <row r="76" spans="1:12" s="6" customFormat="1">
      <c r="A76" s="4"/>
      <c r="B76" s="4">
        <f>VLOOKUP(C76,MtimShipmentLot!B76:C456,2,0)</f>
        <v>131</v>
      </c>
      <c r="C76" s="22" t="s">
        <v>239</v>
      </c>
      <c r="D76" s="26" t="s">
        <v>240</v>
      </c>
      <c r="E76" s="4"/>
      <c r="F76" s="22" t="s">
        <v>27</v>
      </c>
      <c r="G76" s="8"/>
      <c r="H76" s="8"/>
      <c r="I76" s="69"/>
      <c r="J76" s="18"/>
      <c r="K76" s="65"/>
      <c r="L76" s="5"/>
    </row>
    <row r="77" spans="1:12" s="10" customFormat="1">
      <c r="A77" s="4"/>
      <c r="B77" s="4">
        <f>VLOOKUP(C77,MtimShipmentLot!B77:C457,2,0)</f>
        <v>132</v>
      </c>
      <c r="C77" s="22" t="s">
        <v>241</v>
      </c>
      <c r="D77" s="26" t="s">
        <v>241</v>
      </c>
      <c r="E77" s="4"/>
      <c r="F77" s="22" t="s">
        <v>20</v>
      </c>
      <c r="G77" s="8"/>
      <c r="H77" s="8"/>
      <c r="I77" s="69"/>
      <c r="J77" s="8"/>
      <c r="K77" s="65" t="s">
        <v>242</v>
      </c>
      <c r="L77" s="9"/>
    </row>
    <row r="78" spans="1:12">
      <c r="A78" s="4"/>
      <c r="B78" s="4">
        <f>VLOOKUP(C78,MtimShipmentLot!B78:C458,2,0)</f>
        <v>135</v>
      </c>
      <c r="C78" s="22" t="s">
        <v>243</v>
      </c>
      <c r="D78" s="26" t="s">
        <v>244</v>
      </c>
      <c r="E78" s="4"/>
      <c r="F78" s="22" t="s">
        <v>20</v>
      </c>
      <c r="G78" s="5"/>
      <c r="H78" s="14"/>
      <c r="I78" s="69"/>
      <c r="J78" s="18" t="s">
        <v>245</v>
      </c>
      <c r="K78" s="14"/>
      <c r="L78" s="17"/>
    </row>
    <row r="79" spans="1:12" s="6" customFormat="1">
      <c r="A79" s="4"/>
      <c r="B79" s="4">
        <f>VLOOKUP(C79,MtimShipmentLot!B79:C459,2,0)</f>
        <v>136</v>
      </c>
      <c r="C79" s="22" t="s">
        <v>246</v>
      </c>
      <c r="D79" s="26" t="s">
        <v>247</v>
      </c>
      <c r="E79" s="4"/>
      <c r="F79" s="22" t="s">
        <v>27</v>
      </c>
      <c r="G79" s="8"/>
      <c r="H79" s="5"/>
      <c r="I79" s="65"/>
      <c r="J79" s="18" t="s">
        <v>248</v>
      </c>
      <c r="K79" s="3"/>
      <c r="L79" s="5"/>
    </row>
    <row r="80" spans="1:12" s="10" customFormat="1">
      <c r="A80" s="4"/>
      <c r="B80" s="4">
        <f>VLOOKUP(C80,MtimShipmentLot!B80:C460,2,0)</f>
        <v>138</v>
      </c>
      <c r="C80" s="22" t="s">
        <v>249</v>
      </c>
      <c r="D80" s="26" t="s">
        <v>250</v>
      </c>
      <c r="E80" s="4"/>
      <c r="F80" s="22" t="s">
        <v>20</v>
      </c>
      <c r="G80" s="8"/>
      <c r="H80" s="9"/>
      <c r="I80" s="68"/>
      <c r="J80" s="18" t="s">
        <v>251</v>
      </c>
      <c r="K80" s="7"/>
      <c r="L80" s="9"/>
    </row>
    <row r="81" spans="1:12" s="12" customFormat="1">
      <c r="A81" s="4"/>
      <c r="B81" s="4">
        <f>VLOOKUP(C81,MtimShipmentLot!B81:C461,2,0)</f>
        <v>139</v>
      </c>
      <c r="C81" s="22" t="s">
        <v>252</v>
      </c>
      <c r="D81" s="26" t="s">
        <v>253</v>
      </c>
      <c r="E81" s="4"/>
      <c r="F81" s="22" t="s">
        <v>27</v>
      </c>
      <c r="G81" s="8"/>
      <c r="H81" s="11"/>
      <c r="I81" s="68"/>
      <c r="J81" s="18" t="s">
        <v>254</v>
      </c>
      <c r="K81" s="8"/>
      <c r="L81" s="7"/>
    </row>
    <row r="82" spans="1:12">
      <c r="A82" s="4"/>
      <c r="B82" s="4">
        <f>VLOOKUP(C82,MtimShipmentLot!B82:C462,2,0)</f>
        <v>140</v>
      </c>
      <c r="C82" s="22" t="s">
        <v>255</v>
      </c>
      <c r="D82" s="26" t="s">
        <v>256</v>
      </c>
      <c r="E82" s="4"/>
      <c r="F82" s="22" t="s">
        <v>27</v>
      </c>
      <c r="G82" s="8"/>
      <c r="H82" s="13"/>
      <c r="I82" s="69"/>
      <c r="J82" s="4" t="s">
        <v>257</v>
      </c>
      <c r="K82" s="14"/>
      <c r="L82" s="13"/>
    </row>
    <row r="83" spans="1:12">
      <c r="A83" s="4"/>
      <c r="B83" s="4">
        <f>VLOOKUP(C83,MtimShipmentLot!B83:C463,2,0)</f>
        <v>141</v>
      </c>
      <c r="C83" s="22" t="s">
        <v>258</v>
      </c>
      <c r="D83" s="26" t="s">
        <v>258</v>
      </c>
      <c r="E83" s="4"/>
      <c r="F83" s="22" t="s">
        <v>27</v>
      </c>
      <c r="G83" s="8"/>
      <c r="H83" s="13"/>
      <c r="I83" s="69"/>
      <c r="J83" s="18" t="s">
        <v>259</v>
      </c>
      <c r="K83" s="14"/>
      <c r="L83" s="13"/>
    </row>
    <row r="84" spans="1:12" s="6" customFormat="1">
      <c r="A84" s="4"/>
      <c r="B84" s="4">
        <f>VLOOKUP(C84,MtimShipmentLot!B84:C464,2,0)</f>
        <v>144</v>
      </c>
      <c r="C84" s="22" t="s">
        <v>260</v>
      </c>
      <c r="D84" s="26" t="s">
        <v>261</v>
      </c>
      <c r="E84" s="4"/>
      <c r="F84" s="22" t="s">
        <v>27</v>
      </c>
      <c r="G84" s="8"/>
      <c r="H84" s="8"/>
      <c r="I84" s="65"/>
      <c r="J84" s="70" t="s">
        <v>262</v>
      </c>
      <c r="K84" s="65"/>
      <c r="L84" s="5"/>
    </row>
    <row r="85" spans="1:12" s="10" customFormat="1">
      <c r="A85" s="4"/>
      <c r="B85" s="4">
        <f>VLOOKUP(C85,MtimShipmentLot!B85:C465,2,0)</f>
        <v>146</v>
      </c>
      <c r="C85" s="22" t="s">
        <v>263</v>
      </c>
      <c r="D85" s="27" t="s">
        <v>264</v>
      </c>
      <c r="E85" s="4"/>
      <c r="F85" s="22" t="s">
        <v>27</v>
      </c>
      <c r="G85" s="8"/>
      <c r="H85" s="8"/>
      <c r="I85" s="68"/>
      <c r="J85" s="70" t="s">
        <v>265</v>
      </c>
      <c r="K85" s="65"/>
      <c r="L85" s="9"/>
    </row>
    <row r="86" spans="1:12">
      <c r="A86" s="4"/>
      <c r="B86" s="4">
        <f>VLOOKUP(C86,MtimShipmentLot!B86:C466,2,0)</f>
        <v>147</v>
      </c>
      <c r="C86" s="28" t="s">
        <v>266</v>
      </c>
      <c r="D86" s="26" t="s">
        <v>267</v>
      </c>
      <c r="E86" s="4"/>
      <c r="F86" s="22" t="s">
        <v>27</v>
      </c>
      <c r="G86" s="5"/>
      <c r="H86" s="14"/>
      <c r="I86" s="69"/>
      <c r="J86" s="70" t="s">
        <v>268</v>
      </c>
      <c r="K86" s="14"/>
      <c r="L86" s="17"/>
    </row>
    <row r="87" spans="1:12" s="6" customFormat="1">
      <c r="A87" s="4"/>
      <c r="B87" s="4">
        <f>VLOOKUP(C87,MtimShipmentLot!B87:C467,2,0)</f>
        <v>149</v>
      </c>
      <c r="C87" s="28" t="s">
        <v>269</v>
      </c>
      <c r="D87" s="26" t="s">
        <v>270</v>
      </c>
      <c r="E87" s="4"/>
      <c r="F87" s="22" t="s">
        <v>27</v>
      </c>
      <c r="G87" s="8"/>
      <c r="H87" s="5"/>
      <c r="I87" s="65"/>
      <c r="J87" s="8" t="s">
        <v>271</v>
      </c>
      <c r="K87" s="3"/>
      <c r="L87" s="5"/>
    </row>
    <row r="88" spans="1:12" s="10" customFormat="1">
      <c r="A88" s="4"/>
      <c r="B88" s="4">
        <f>VLOOKUP(C88,MtimShipmentLot!B88:C468,2,0)</f>
        <v>150</v>
      </c>
      <c r="C88" s="28" t="s">
        <v>272</v>
      </c>
      <c r="D88" s="26" t="s">
        <v>273</v>
      </c>
      <c r="E88" s="4"/>
      <c r="F88" s="22" t="s">
        <v>27</v>
      </c>
      <c r="G88" s="8"/>
      <c r="H88" s="9"/>
      <c r="I88" s="68"/>
      <c r="J88" s="72" t="s">
        <v>274</v>
      </c>
      <c r="K88" s="7"/>
      <c r="L88" s="9"/>
    </row>
    <row r="89" spans="1:12" s="12" customFormat="1">
      <c r="A89" s="4"/>
      <c r="B89" s="4">
        <f>VLOOKUP(C89,MtimShipmentLot!B89:C469,2,0)</f>
        <v>151</v>
      </c>
      <c r="C89" s="28" t="s">
        <v>275</v>
      </c>
      <c r="D89" s="26" t="s">
        <v>276</v>
      </c>
      <c r="E89" s="4"/>
      <c r="F89" s="22" t="s">
        <v>27</v>
      </c>
      <c r="G89" s="8"/>
      <c r="H89" s="11"/>
      <c r="I89" s="68"/>
      <c r="J89" s="67" t="s">
        <v>277</v>
      </c>
      <c r="K89" s="8"/>
      <c r="L89" s="7"/>
    </row>
    <row r="90" spans="1:12">
      <c r="A90" s="4"/>
      <c r="B90" s="4">
        <f>VLOOKUP(C90,MtimShipmentLot!B90:C470,2,0)</f>
        <v>152</v>
      </c>
      <c r="C90" s="28" t="s">
        <v>278</v>
      </c>
      <c r="D90" s="26" t="s">
        <v>279</v>
      </c>
      <c r="E90" s="4"/>
      <c r="F90" s="22" t="s">
        <v>27</v>
      </c>
      <c r="G90" s="8"/>
      <c r="H90" s="13"/>
      <c r="I90" s="69"/>
      <c r="J90" s="70" t="s">
        <v>280</v>
      </c>
      <c r="K90" s="14"/>
      <c r="L90" s="13"/>
    </row>
    <row r="91" spans="1:12">
      <c r="A91" s="4"/>
      <c r="B91" s="4">
        <f>VLOOKUP(C91,MtimShipmentLot!B91:C471,2,0)</f>
        <v>155</v>
      </c>
      <c r="C91" s="28" t="s">
        <v>281</v>
      </c>
      <c r="D91" s="26" t="s">
        <v>282</v>
      </c>
      <c r="E91" s="4"/>
      <c r="F91" s="22" t="s">
        <v>27</v>
      </c>
      <c r="G91" s="8"/>
      <c r="H91" s="13"/>
      <c r="I91" s="69"/>
      <c r="J91" s="4" t="s">
        <v>283</v>
      </c>
      <c r="K91" s="14"/>
      <c r="L91" s="13"/>
    </row>
    <row r="92" spans="1:12">
      <c r="A92" s="4"/>
      <c r="B92" s="4">
        <f>VLOOKUP(C92,MtimShipmentLot!B92:C472,2,0)</f>
        <v>157</v>
      </c>
      <c r="C92" s="28" t="s">
        <v>284</v>
      </c>
      <c r="D92" s="26" t="s">
        <v>285</v>
      </c>
      <c r="E92" s="4"/>
      <c r="F92" s="22" t="s">
        <v>27</v>
      </c>
      <c r="G92" s="4"/>
      <c r="H92" s="4"/>
      <c r="I92" s="70"/>
      <c r="J92" s="72" t="s">
        <v>286</v>
      </c>
      <c r="K92" s="4"/>
      <c r="L92" s="4"/>
    </row>
    <row r="93" spans="1:12">
      <c r="A93" s="4"/>
      <c r="B93" s="4">
        <f>VLOOKUP(C93,MtimShipmentLot!B93:C473,2,0)</f>
        <v>158</v>
      </c>
      <c r="C93" s="28" t="s">
        <v>287</v>
      </c>
      <c r="D93" s="26" t="s">
        <v>288</v>
      </c>
      <c r="E93" s="4"/>
      <c r="F93" s="22" t="s">
        <v>27</v>
      </c>
      <c r="G93" s="4"/>
      <c r="H93" s="4"/>
      <c r="I93" s="70"/>
      <c r="J93" s="67" t="s">
        <v>289</v>
      </c>
      <c r="K93" s="4"/>
      <c r="L93" s="4"/>
    </row>
    <row r="94" spans="1:12">
      <c r="A94" s="4"/>
      <c r="B94" s="4">
        <f>VLOOKUP(C94,MtimShipmentLot!B94:C474,2,0)</f>
        <v>159</v>
      </c>
      <c r="C94" s="28" t="s">
        <v>290</v>
      </c>
      <c r="D94" s="26" t="s">
        <v>291</v>
      </c>
      <c r="E94" s="4"/>
      <c r="F94" s="22" t="s">
        <v>27</v>
      </c>
      <c r="G94" s="4"/>
      <c r="H94" s="4"/>
      <c r="I94" s="70"/>
      <c r="J94" s="70" t="s">
        <v>292</v>
      </c>
      <c r="K94" s="4"/>
      <c r="L94" s="4"/>
    </row>
    <row r="95" spans="1:12">
      <c r="A95" s="4"/>
      <c r="B95" s="4">
        <f>VLOOKUP(C95,MtimShipmentLot!B95:C475,2,0)</f>
        <v>188</v>
      </c>
      <c r="C95" s="28" t="s">
        <v>293</v>
      </c>
      <c r="D95" s="26" t="s">
        <v>294</v>
      </c>
      <c r="E95" s="4"/>
      <c r="F95" s="22" t="s">
        <v>27</v>
      </c>
      <c r="G95" s="4"/>
      <c r="H95" s="4"/>
      <c r="I95" s="70"/>
      <c r="J95" s="70"/>
      <c r="K95" s="70" t="s">
        <v>295</v>
      </c>
      <c r="L95" s="4"/>
    </row>
    <row r="96" spans="1:12">
      <c r="A96" s="4"/>
      <c r="B96" s="4">
        <f>VLOOKUP(C96,MtimShipmentLot!B96:C476,2,0)</f>
        <v>189</v>
      </c>
      <c r="C96" s="28" t="s">
        <v>296</v>
      </c>
      <c r="D96" s="26" t="s">
        <v>297</v>
      </c>
      <c r="E96" s="4"/>
      <c r="F96" s="22" t="s">
        <v>20</v>
      </c>
      <c r="G96" s="4"/>
      <c r="H96" s="4"/>
      <c r="I96" s="70"/>
      <c r="J96" s="70" t="s">
        <v>298</v>
      </c>
      <c r="K96" s="4"/>
      <c r="L96" s="4"/>
    </row>
    <row r="97" spans="1:12">
      <c r="A97" s="4"/>
      <c r="B97" s="4">
        <f>VLOOKUP(C97,MtimShipmentLot!B97:C477,2,0)</f>
        <v>190</v>
      </c>
      <c r="C97" s="22" t="s">
        <v>299</v>
      </c>
      <c r="D97" s="23" t="s">
        <v>300</v>
      </c>
      <c r="E97" s="4"/>
      <c r="F97" s="22" t="s">
        <v>20</v>
      </c>
      <c r="G97" s="4"/>
      <c r="H97" s="4"/>
      <c r="I97" s="70"/>
      <c r="J97" s="70" t="s">
        <v>301</v>
      </c>
      <c r="K97" s="4"/>
      <c r="L97" s="4"/>
    </row>
    <row r="98" spans="1:12">
      <c r="A98" s="4"/>
      <c r="B98" s="4">
        <f>VLOOKUP(C98,MtimShipmentLot!B98:C478,2,0)</f>
        <v>191</v>
      </c>
      <c r="C98" s="22" t="s">
        <v>302</v>
      </c>
      <c r="D98" s="23" t="s">
        <v>303</v>
      </c>
      <c r="E98" s="4"/>
      <c r="F98" s="22" t="s">
        <v>20</v>
      </c>
      <c r="G98" s="4"/>
      <c r="H98" s="4"/>
      <c r="I98" s="70"/>
      <c r="J98" s="4"/>
      <c r="K98" s="4" t="s">
        <v>304</v>
      </c>
      <c r="L98" s="4"/>
    </row>
    <row r="99" spans="1:12">
      <c r="A99" s="4"/>
      <c r="B99" s="4">
        <f>VLOOKUP(C99,MtimShipmentLot!B99:C479,2,0)</f>
        <v>192</v>
      </c>
      <c r="C99" s="28" t="s">
        <v>305</v>
      </c>
      <c r="D99" s="27" t="s">
        <v>306</v>
      </c>
      <c r="E99" s="4"/>
      <c r="F99" s="22" t="s">
        <v>27</v>
      </c>
      <c r="G99" s="4"/>
      <c r="H99" s="4"/>
      <c r="I99" s="70"/>
      <c r="J99" s="70" t="s">
        <v>307</v>
      </c>
      <c r="K99" s="4"/>
      <c r="L99" s="4"/>
    </row>
    <row r="100" spans="1:12">
      <c r="A100" s="4"/>
      <c r="B100" s="4">
        <f>VLOOKUP(C100,MtimShipmentLot!B100:C480,2,0)</f>
        <v>193</v>
      </c>
      <c r="C100" s="28" t="s">
        <v>308</v>
      </c>
      <c r="D100" s="27" t="s">
        <v>309</v>
      </c>
      <c r="E100" s="4"/>
      <c r="F100" s="22" t="s">
        <v>27</v>
      </c>
      <c r="G100" s="4"/>
      <c r="H100" s="4"/>
      <c r="I100" s="70"/>
      <c r="J100" s="18" t="s">
        <v>310</v>
      </c>
      <c r="K100" s="4"/>
      <c r="L100" s="4"/>
    </row>
    <row r="101" spans="1:12">
      <c r="A101" s="4"/>
      <c r="B101" s="4">
        <f>VLOOKUP(C101,MtimShipmentLot!B101:C481,2,0)</f>
        <v>194</v>
      </c>
      <c r="C101" s="28" t="s">
        <v>311</v>
      </c>
      <c r="D101" s="27" t="s">
        <v>312</v>
      </c>
      <c r="E101" s="4"/>
      <c r="F101" s="22" t="s">
        <v>27</v>
      </c>
      <c r="G101" s="4"/>
      <c r="H101" s="4"/>
      <c r="I101" s="70"/>
      <c r="J101" s="18" t="s">
        <v>313</v>
      </c>
      <c r="K101" s="4"/>
      <c r="L101" s="4"/>
    </row>
    <row r="102" spans="1:12">
      <c r="A102" s="4"/>
      <c r="B102" s="4">
        <f>VLOOKUP(C102,MtimShipmentLot!B102:C482,2,0)</f>
        <v>326</v>
      </c>
      <c r="C102" s="28" t="s">
        <v>314</v>
      </c>
      <c r="D102" s="27" t="s">
        <v>315</v>
      </c>
      <c r="E102" s="4"/>
      <c r="F102" s="22" t="s">
        <v>27</v>
      </c>
      <c r="G102" s="4"/>
      <c r="H102" s="4"/>
      <c r="I102" s="70"/>
      <c r="J102" s="70" t="s">
        <v>316</v>
      </c>
      <c r="K102" s="4"/>
      <c r="L102" s="4"/>
    </row>
    <row r="103" spans="1:12">
      <c r="A103" s="4"/>
      <c r="B103" s="4">
        <f>VLOOKUP(C103,MtimShipmentLot!B103:C483,2,0)</f>
        <v>327</v>
      </c>
      <c r="C103" s="28" t="s">
        <v>317</v>
      </c>
      <c r="D103" s="27" t="s">
        <v>318</v>
      </c>
      <c r="E103" s="4"/>
      <c r="F103" s="22" t="s">
        <v>27</v>
      </c>
      <c r="G103" s="4"/>
      <c r="H103" s="4"/>
      <c r="I103" s="70"/>
      <c r="J103" s="70" t="s">
        <v>319</v>
      </c>
      <c r="K103" s="4"/>
      <c r="L103" s="4"/>
    </row>
    <row r="104" spans="1:12">
      <c r="A104" s="4"/>
      <c r="B104" s="4"/>
      <c r="C104" s="28"/>
      <c r="D104" s="27"/>
      <c r="E104" s="4"/>
      <c r="F104" s="22"/>
      <c r="G104" s="4"/>
      <c r="H104" s="4"/>
      <c r="I104" s="4"/>
      <c r="J104" s="4"/>
      <c r="K104" s="4"/>
      <c r="L104" s="4"/>
    </row>
    <row r="105" spans="1:12">
      <c r="A105" s="4"/>
      <c r="B105" s="4"/>
      <c r="C105" s="28"/>
      <c r="D105" s="27"/>
      <c r="E105" s="4"/>
      <c r="F105" s="22"/>
      <c r="G105" s="4"/>
      <c r="H105" s="4"/>
      <c r="I105" s="4"/>
      <c r="J105" s="4"/>
      <c r="K105" s="4"/>
      <c r="L105" s="4"/>
    </row>
    <row r="106" spans="1:12">
      <c r="A106" s="4"/>
      <c r="B106" s="4"/>
      <c r="C106" s="28"/>
      <c r="D106" s="27"/>
      <c r="E106" s="4"/>
      <c r="F106" s="22"/>
      <c r="G106" s="4"/>
      <c r="H106" s="4"/>
      <c r="I106" s="4"/>
      <c r="J106" s="4"/>
      <c r="K106" s="4"/>
      <c r="L106" s="4"/>
    </row>
    <row r="107" spans="1:12">
      <c r="A107" s="4"/>
      <c r="B107" s="4"/>
      <c r="C107" s="28"/>
      <c r="D107" s="27"/>
      <c r="E107" s="4"/>
      <c r="F107" s="22"/>
      <c r="G107" s="4"/>
      <c r="H107" s="4"/>
      <c r="I107" s="4"/>
      <c r="J107" s="4"/>
      <c r="K107" s="4"/>
      <c r="L107" s="4"/>
    </row>
    <row r="108" spans="1:12">
      <c r="A108" s="4"/>
      <c r="B108" s="4"/>
      <c r="C108" s="28"/>
      <c r="D108" s="27"/>
      <c r="E108" s="4"/>
      <c r="F108" s="22"/>
      <c r="G108" s="4"/>
      <c r="H108" s="4"/>
      <c r="I108" s="4"/>
      <c r="J108" s="4"/>
      <c r="K108" s="4"/>
      <c r="L108" s="4"/>
    </row>
    <row r="124" spans="11:11">
      <c r="K124" s="4"/>
    </row>
  </sheetData>
  <mergeCells count="3">
    <mergeCell ref="I2:L2"/>
    <mergeCell ref="A2:E2"/>
    <mergeCell ref="G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DA8-D2F5-4B57-97E6-87D8304D8720}">
  <dimension ref="B1:D36"/>
  <sheetViews>
    <sheetView workbookViewId="0">
      <selection activeCell="G34" sqref="G34"/>
    </sheetView>
  </sheetViews>
  <sheetFormatPr defaultRowHeight="15"/>
  <sheetData>
    <row r="1" spans="2:4" ht="17.649999999999999" customHeight="1">
      <c r="B1" s="33" t="s">
        <v>320</v>
      </c>
      <c r="C1" s="34"/>
      <c r="D1" s="34"/>
    </row>
    <row r="2" spans="2:4">
      <c r="B2" s="32" t="s">
        <v>321</v>
      </c>
      <c r="C2" s="32" t="s">
        <v>322</v>
      </c>
    </row>
    <row r="3" spans="2:4">
      <c r="B3" s="20" t="s">
        <v>323</v>
      </c>
      <c r="C3" s="21" t="s">
        <v>324</v>
      </c>
    </row>
    <row r="4" spans="2:4">
      <c r="B4" s="20" t="s">
        <v>325</v>
      </c>
      <c r="C4" s="21" t="s">
        <v>324</v>
      </c>
    </row>
    <row r="5" spans="2:4">
      <c r="B5" s="20" t="s">
        <v>326</v>
      </c>
      <c r="C5" s="21" t="s">
        <v>324</v>
      </c>
    </row>
    <row r="6" spans="2:4">
      <c r="B6" s="20" t="s">
        <v>327</v>
      </c>
      <c r="C6" s="21" t="s">
        <v>324</v>
      </c>
    </row>
    <row r="7" spans="2:4">
      <c r="B7" s="20" t="s">
        <v>328</v>
      </c>
      <c r="C7" s="21" t="s">
        <v>324</v>
      </c>
    </row>
    <row r="8" spans="2:4">
      <c r="B8" s="20" t="s">
        <v>329</v>
      </c>
      <c r="C8" s="21" t="s">
        <v>324</v>
      </c>
    </row>
    <row r="9" spans="2:4">
      <c r="B9" s="20" t="s">
        <v>330</v>
      </c>
      <c r="C9" s="21" t="s">
        <v>324</v>
      </c>
    </row>
    <row r="10" spans="2:4">
      <c r="B10" s="20" t="s">
        <v>331</v>
      </c>
      <c r="C10" s="21" t="s">
        <v>332</v>
      </c>
    </row>
    <row r="11" spans="2:4">
      <c r="B11" s="20" t="s">
        <v>333</v>
      </c>
      <c r="C11" s="21" t="s">
        <v>332</v>
      </c>
    </row>
    <row r="12" spans="2:4">
      <c r="B12" s="20" t="s">
        <v>334</v>
      </c>
      <c r="C12" s="20" t="s">
        <v>335</v>
      </c>
    </row>
    <row r="13" spans="2:4">
      <c r="B13" s="21" t="s">
        <v>336</v>
      </c>
      <c r="C13" s="20" t="s">
        <v>335</v>
      </c>
    </row>
    <row r="14" spans="2:4">
      <c r="B14" s="21" t="s">
        <v>337</v>
      </c>
      <c r="C14" s="20" t="s">
        <v>335</v>
      </c>
    </row>
    <row r="15" spans="2:4">
      <c r="B15" s="21" t="s">
        <v>338</v>
      </c>
      <c r="C15" s="20" t="s">
        <v>335</v>
      </c>
    </row>
    <row r="16" spans="2:4">
      <c r="B16" s="20" t="s">
        <v>339</v>
      </c>
      <c r="C16" s="20" t="s">
        <v>340</v>
      </c>
    </row>
    <row r="17" spans="2:3">
      <c r="B17" s="21" t="s">
        <v>341</v>
      </c>
      <c r="C17" s="20" t="s">
        <v>340</v>
      </c>
    </row>
    <row r="18" spans="2:3">
      <c r="B18" s="21" t="s">
        <v>342</v>
      </c>
      <c r="C18" s="20" t="s">
        <v>340</v>
      </c>
    </row>
    <row r="19" spans="2:3">
      <c r="B19" s="21" t="s">
        <v>343</v>
      </c>
      <c r="C19" s="20" t="s">
        <v>340</v>
      </c>
    </row>
    <row r="20" spans="2:3">
      <c r="B20" s="21" t="s">
        <v>344</v>
      </c>
      <c r="C20" s="20" t="s">
        <v>340</v>
      </c>
    </row>
    <row r="21" spans="2:3">
      <c r="B21" s="21" t="s">
        <v>345</v>
      </c>
      <c r="C21" s="20" t="s">
        <v>340</v>
      </c>
    </row>
    <row r="22" spans="2:3">
      <c r="B22" s="21" t="s">
        <v>346</v>
      </c>
      <c r="C22" s="20" t="s">
        <v>340</v>
      </c>
    </row>
    <row r="23" spans="2:3">
      <c r="B23" s="21" t="s">
        <v>347</v>
      </c>
      <c r="C23" s="20" t="s">
        <v>340</v>
      </c>
    </row>
    <row r="24" spans="2:3">
      <c r="B24" s="21" t="s">
        <v>348</v>
      </c>
      <c r="C24" s="20" t="s">
        <v>349</v>
      </c>
    </row>
    <row r="25" spans="2:3">
      <c r="B25" s="21" t="s">
        <v>350</v>
      </c>
      <c r="C25" s="20" t="s">
        <v>349</v>
      </c>
    </row>
    <row r="26" spans="2:3">
      <c r="B26" s="21" t="s">
        <v>351</v>
      </c>
      <c r="C26" s="20" t="s">
        <v>349</v>
      </c>
    </row>
    <row r="27" spans="2:3">
      <c r="B27" s="21" t="s">
        <v>352</v>
      </c>
      <c r="C27" s="20" t="s">
        <v>349</v>
      </c>
    </row>
    <row r="28" spans="2:3">
      <c r="B28" s="21" t="s">
        <v>353</v>
      </c>
      <c r="C28" s="20" t="s">
        <v>349</v>
      </c>
    </row>
    <row r="29" spans="2:3">
      <c r="B29" s="21" t="s">
        <v>354</v>
      </c>
      <c r="C29" s="20" t="s">
        <v>349</v>
      </c>
    </row>
    <row r="30" spans="2:3">
      <c r="B30" s="21" t="s">
        <v>355</v>
      </c>
      <c r="C30" s="20" t="s">
        <v>349</v>
      </c>
    </row>
    <row r="31" spans="2:3">
      <c r="B31" s="21" t="s">
        <v>356</v>
      </c>
      <c r="C31" s="20" t="s">
        <v>349</v>
      </c>
    </row>
    <row r="32" spans="2:3">
      <c r="B32" s="21" t="s">
        <v>357</v>
      </c>
      <c r="C32" s="20" t="s">
        <v>349</v>
      </c>
    </row>
    <row r="33" spans="2:3">
      <c r="B33" s="21" t="s">
        <v>358</v>
      </c>
      <c r="C33" s="20" t="s">
        <v>349</v>
      </c>
    </row>
    <row r="34" spans="2:3">
      <c r="B34" s="21" t="s">
        <v>359</v>
      </c>
      <c r="C34" s="20" t="s">
        <v>349</v>
      </c>
    </row>
    <row r="35" spans="2:3">
      <c r="B35" s="21" t="s">
        <v>360</v>
      </c>
      <c r="C35" s="20" t="s">
        <v>361</v>
      </c>
    </row>
    <row r="36" spans="2:3">
      <c r="B36" s="21" t="s">
        <v>362</v>
      </c>
      <c r="C36" s="21" t="s">
        <v>363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353C-FD54-4F97-8DB3-010B1CA9122B}">
  <dimension ref="A1:CV8"/>
  <sheetViews>
    <sheetView tabSelected="1" topLeftCell="BC1" workbookViewId="0">
      <selection activeCell="A2" sqref="A2"/>
    </sheetView>
  </sheetViews>
  <sheetFormatPr defaultRowHeight="15"/>
  <cols>
    <col min="1" max="1" width="18.42578125" style="57" bestFit="1" customWidth="1"/>
    <col min="2" max="2" width="40.140625" style="57" bestFit="1" customWidth="1"/>
    <col min="3" max="3" width="19" style="57" bestFit="1" customWidth="1"/>
    <col min="4" max="4" width="27" style="57" bestFit="1" customWidth="1"/>
    <col min="5" max="7" width="18" style="57" bestFit="1" customWidth="1"/>
    <col min="8" max="8" width="12.85546875" style="57" bestFit="1" customWidth="1"/>
    <col min="9" max="9" width="14" style="57" bestFit="1" customWidth="1"/>
    <col min="10" max="10" width="9.140625" style="57"/>
    <col min="11" max="11" width="12.140625" style="57" bestFit="1" customWidth="1"/>
    <col min="12" max="12" width="12.5703125" style="57" bestFit="1" customWidth="1"/>
    <col min="13" max="13" width="17.7109375" style="57" bestFit="1" customWidth="1"/>
    <col min="14" max="71" width="9.140625" style="57"/>
    <col min="72" max="72" width="17.140625" style="57" customWidth="1"/>
    <col min="73" max="73" width="9.140625" style="57"/>
    <col min="74" max="74" width="18.85546875" style="57" customWidth="1"/>
    <col min="75" max="76" width="9.140625" style="57"/>
    <col min="77" max="77" width="18.28515625" style="57" customWidth="1"/>
    <col min="78" max="98" width="9.140625" style="57"/>
    <col min="99" max="99" width="16" style="57" bestFit="1" customWidth="1"/>
    <col min="100" max="100" width="19.42578125" style="57" bestFit="1" customWidth="1"/>
    <col min="101" max="16384" width="9.140625" style="57"/>
  </cols>
  <sheetData>
    <row r="1" spans="1:100" s="59" customFormat="1" ht="19.5" customHeight="1">
      <c r="A1" s="58" t="s">
        <v>364</v>
      </c>
    </row>
    <row r="2" spans="1:100" s="61" customFormat="1" ht="10.5">
      <c r="A2" s="60" t="s">
        <v>365</v>
      </c>
      <c r="B2" s="60" t="s">
        <v>366</v>
      </c>
      <c r="C2" s="60" t="s">
        <v>367</v>
      </c>
      <c r="D2" s="60" t="s">
        <v>368</v>
      </c>
      <c r="E2" s="60" t="s">
        <v>369</v>
      </c>
      <c r="F2" s="60" t="s">
        <v>370</v>
      </c>
      <c r="G2" s="60" t="s">
        <v>371</v>
      </c>
      <c r="H2" s="60" t="s">
        <v>372</v>
      </c>
      <c r="I2" s="60" t="s">
        <v>373</v>
      </c>
      <c r="J2" s="60" t="s">
        <v>374</v>
      </c>
      <c r="K2" s="60" t="s">
        <v>375</v>
      </c>
      <c r="L2" s="60" t="s">
        <v>376</v>
      </c>
      <c r="M2" s="60" t="s">
        <v>377</v>
      </c>
      <c r="N2" s="60" t="s">
        <v>378</v>
      </c>
      <c r="O2" s="60" t="s">
        <v>379</v>
      </c>
      <c r="P2" s="60" t="s">
        <v>380</v>
      </c>
      <c r="Q2" s="60" t="s">
        <v>381</v>
      </c>
      <c r="R2" s="60" t="s">
        <v>382</v>
      </c>
      <c r="S2" s="60" t="s">
        <v>383</v>
      </c>
      <c r="T2" s="60" t="s">
        <v>384</v>
      </c>
      <c r="U2" s="60" t="s">
        <v>385</v>
      </c>
      <c r="V2" s="60" t="s">
        <v>386</v>
      </c>
      <c r="W2" s="60" t="s">
        <v>387</v>
      </c>
      <c r="X2" s="60" t="s">
        <v>388</v>
      </c>
      <c r="Y2" s="60" t="s">
        <v>389</v>
      </c>
      <c r="Z2" s="60" t="s">
        <v>390</v>
      </c>
      <c r="AA2" s="60" t="s">
        <v>391</v>
      </c>
      <c r="AB2" s="60" t="s">
        <v>392</v>
      </c>
      <c r="AC2" s="60" t="s">
        <v>393</v>
      </c>
      <c r="AD2" s="60" t="s">
        <v>394</v>
      </c>
      <c r="AE2" s="60" t="s">
        <v>395</v>
      </c>
      <c r="AF2" s="60" t="s">
        <v>396</v>
      </c>
      <c r="AG2" s="60" t="s">
        <v>397</v>
      </c>
      <c r="AH2" s="60" t="s">
        <v>398</v>
      </c>
      <c r="AI2" s="60" t="s">
        <v>399</v>
      </c>
      <c r="AJ2" s="60" t="s">
        <v>400</v>
      </c>
      <c r="AK2" s="60" t="s">
        <v>401</v>
      </c>
      <c r="AL2" s="60" t="s">
        <v>402</v>
      </c>
      <c r="AM2" s="60" t="s">
        <v>403</v>
      </c>
      <c r="AN2" s="60" t="s">
        <v>404</v>
      </c>
      <c r="AO2" s="60" t="s">
        <v>405</v>
      </c>
      <c r="AP2" s="60" t="s">
        <v>406</v>
      </c>
      <c r="AQ2" s="60" t="s">
        <v>407</v>
      </c>
      <c r="AR2" s="60" t="s">
        <v>408</v>
      </c>
      <c r="AS2" s="60" t="s">
        <v>409</v>
      </c>
      <c r="AT2" s="60" t="s">
        <v>410</v>
      </c>
      <c r="AU2" s="60" t="s">
        <v>411</v>
      </c>
      <c r="AV2" s="60" t="s">
        <v>412</v>
      </c>
      <c r="AW2" s="60" t="s">
        <v>413</v>
      </c>
      <c r="AX2" s="60" t="s">
        <v>414</v>
      </c>
      <c r="AY2" s="60" t="s">
        <v>415</v>
      </c>
      <c r="AZ2" s="60" t="s">
        <v>416</v>
      </c>
      <c r="BA2" s="60" t="s">
        <v>417</v>
      </c>
      <c r="BB2" s="60" t="s">
        <v>418</v>
      </c>
      <c r="BC2" s="60" t="s">
        <v>419</v>
      </c>
      <c r="BD2" s="60" t="s">
        <v>420</v>
      </c>
      <c r="BE2" s="60" t="s">
        <v>421</v>
      </c>
      <c r="BF2" s="60" t="s">
        <v>422</v>
      </c>
      <c r="BG2" s="60" t="s">
        <v>423</v>
      </c>
      <c r="BH2" s="60" t="s">
        <v>424</v>
      </c>
      <c r="BI2" s="60" t="s">
        <v>425</v>
      </c>
      <c r="BJ2" s="60" t="s">
        <v>426</v>
      </c>
      <c r="BK2" s="60" t="s">
        <v>427</v>
      </c>
      <c r="BL2" s="60" t="s">
        <v>428</v>
      </c>
      <c r="BM2" s="60" t="s">
        <v>429</v>
      </c>
      <c r="BN2" s="60" t="s">
        <v>430</v>
      </c>
      <c r="BO2" s="60" t="s">
        <v>431</v>
      </c>
      <c r="BP2" s="60" t="s">
        <v>432</v>
      </c>
      <c r="BQ2" s="60" t="s">
        <v>433</v>
      </c>
      <c r="BR2" s="60" t="s">
        <v>434</v>
      </c>
      <c r="BS2" s="60" t="s">
        <v>435</v>
      </c>
      <c r="BT2" s="60" t="s">
        <v>436</v>
      </c>
      <c r="BU2" s="60" t="s">
        <v>437</v>
      </c>
      <c r="BV2" s="60" t="s">
        <v>438</v>
      </c>
      <c r="BW2" s="60" t="s">
        <v>439</v>
      </c>
      <c r="BX2" s="60" t="s">
        <v>440</v>
      </c>
      <c r="BY2" s="60" t="s">
        <v>441</v>
      </c>
      <c r="BZ2" s="60" t="s">
        <v>442</v>
      </c>
      <c r="CA2" s="60" t="s">
        <v>443</v>
      </c>
      <c r="CB2" s="60" t="s">
        <v>444</v>
      </c>
      <c r="CC2" s="60" t="s">
        <v>445</v>
      </c>
      <c r="CD2" s="60" t="s">
        <v>446</v>
      </c>
      <c r="CE2" s="60" t="s">
        <v>447</v>
      </c>
      <c r="CF2" s="60" t="s">
        <v>448</v>
      </c>
      <c r="CG2" s="60" t="s">
        <v>449</v>
      </c>
      <c r="CH2" s="60" t="s">
        <v>450</v>
      </c>
      <c r="CI2" s="60" t="s">
        <v>451</v>
      </c>
      <c r="CJ2" s="60" t="s">
        <v>452</v>
      </c>
      <c r="CK2" s="60" t="s">
        <v>453</v>
      </c>
      <c r="CL2" s="60" t="s">
        <v>454</v>
      </c>
      <c r="CM2" s="60" t="s">
        <v>455</v>
      </c>
      <c r="CN2" s="60" t="s">
        <v>456</v>
      </c>
      <c r="CO2" s="60" t="s">
        <v>457</v>
      </c>
      <c r="CP2" s="60" t="s">
        <v>458</v>
      </c>
      <c r="CQ2" s="60" t="s">
        <v>459</v>
      </c>
      <c r="CR2" s="60" t="s">
        <v>460</v>
      </c>
      <c r="CS2" s="60" t="s">
        <v>461</v>
      </c>
      <c r="CT2" s="60" t="s">
        <v>462</v>
      </c>
      <c r="CU2" s="60" t="s">
        <v>463</v>
      </c>
      <c r="CV2" s="60" t="s">
        <v>464</v>
      </c>
    </row>
    <row r="3" spans="1:100">
      <c r="A3" s="60" t="s">
        <v>465</v>
      </c>
      <c r="B3" s="60" t="s">
        <v>23</v>
      </c>
      <c r="C3" s="60" t="s">
        <v>26</v>
      </c>
      <c r="D3" s="60" t="s">
        <v>30</v>
      </c>
      <c r="E3" s="60" t="s">
        <v>33</v>
      </c>
      <c r="F3" s="60" t="s">
        <v>36</v>
      </c>
      <c r="G3" s="60" t="s">
        <v>39</v>
      </c>
      <c r="H3" s="60" t="s">
        <v>42</v>
      </c>
      <c r="I3" s="60" t="s">
        <v>45</v>
      </c>
      <c r="J3" s="60" t="s">
        <v>48</v>
      </c>
      <c r="K3" s="60" t="s">
        <v>51</v>
      </c>
      <c r="L3" s="60" t="s">
        <v>54</v>
      </c>
      <c r="M3" s="60" t="s">
        <v>57</v>
      </c>
      <c r="N3" s="60" t="s">
        <v>60</v>
      </c>
      <c r="O3" s="60" t="s">
        <v>63</v>
      </c>
      <c r="P3" s="60" t="s">
        <v>66</v>
      </c>
      <c r="Q3" s="60" t="s">
        <v>69</v>
      </c>
      <c r="R3" s="60" t="s">
        <v>72</v>
      </c>
      <c r="S3" s="60" t="s">
        <v>75</v>
      </c>
      <c r="T3" s="60" t="s">
        <v>78</v>
      </c>
      <c r="U3" s="60" t="s">
        <v>81</v>
      </c>
      <c r="V3" s="60" t="s">
        <v>84</v>
      </c>
      <c r="W3" s="60" t="s">
        <v>89</v>
      </c>
      <c r="X3" s="60" t="s">
        <v>91</v>
      </c>
      <c r="Y3" s="60" t="s">
        <v>95</v>
      </c>
      <c r="Z3" s="60" t="s">
        <v>98</v>
      </c>
      <c r="AA3" s="60" t="s">
        <v>102</v>
      </c>
      <c r="AB3" s="60" t="s">
        <v>105</v>
      </c>
      <c r="AC3" s="60" t="s">
        <v>108</v>
      </c>
      <c r="AD3" s="60" t="s">
        <v>111</v>
      </c>
      <c r="AE3" s="60" t="s">
        <v>114</v>
      </c>
      <c r="AF3" s="60" t="s">
        <v>118</v>
      </c>
      <c r="AG3" s="60" t="s">
        <v>121</v>
      </c>
      <c r="AH3" s="60" t="s">
        <v>124</v>
      </c>
      <c r="AI3" s="60" t="s">
        <v>127</v>
      </c>
      <c r="AJ3" s="60" t="s">
        <v>130</v>
      </c>
      <c r="AK3" s="60" t="s">
        <v>133</v>
      </c>
      <c r="AL3" s="60" t="s">
        <v>136</v>
      </c>
      <c r="AM3" s="60" t="s">
        <v>139</v>
      </c>
      <c r="AN3" s="60" t="s">
        <v>142</v>
      </c>
      <c r="AO3" s="60" t="s">
        <v>145</v>
      </c>
      <c r="AP3" s="60" t="s">
        <v>148</v>
      </c>
      <c r="AQ3" s="60" t="s">
        <v>151</v>
      </c>
      <c r="AR3" s="60" t="s">
        <v>154</v>
      </c>
      <c r="AS3" s="60" t="s">
        <v>157</v>
      </c>
      <c r="AT3" s="60" t="s">
        <v>160</v>
      </c>
      <c r="AU3" s="60" t="s">
        <v>163</v>
      </c>
      <c r="AV3" s="60" t="s">
        <v>166</v>
      </c>
      <c r="AW3" s="60" t="s">
        <v>169</v>
      </c>
      <c r="AX3" s="60" t="s">
        <v>172</v>
      </c>
      <c r="AY3" s="60" t="s">
        <v>175</v>
      </c>
      <c r="AZ3" s="60" t="s">
        <v>178</v>
      </c>
      <c r="BA3" s="60" t="s">
        <v>181</v>
      </c>
      <c r="BB3" s="60" t="s">
        <v>184</v>
      </c>
      <c r="BC3" s="60" t="s">
        <v>187</v>
      </c>
      <c r="BD3" s="60" t="s">
        <v>190</v>
      </c>
      <c r="BE3" s="60" t="s">
        <v>193</v>
      </c>
      <c r="BF3" s="60" t="s">
        <v>196</v>
      </c>
      <c r="BG3" s="60" t="s">
        <v>199</v>
      </c>
      <c r="BH3" s="60" t="s">
        <v>202</v>
      </c>
      <c r="BI3" s="60" t="s">
        <v>205</v>
      </c>
      <c r="BJ3" s="60" t="s">
        <v>208</v>
      </c>
      <c r="BK3" s="60" t="s">
        <v>211</v>
      </c>
      <c r="BL3" s="60" t="s">
        <v>214</v>
      </c>
      <c r="BM3" s="60" t="s">
        <v>217</v>
      </c>
      <c r="BN3" s="60" t="s">
        <v>220</v>
      </c>
      <c r="BO3" s="60" t="s">
        <v>223</v>
      </c>
      <c r="BP3" s="60" t="s">
        <v>226</v>
      </c>
      <c r="BQ3" s="60" t="s">
        <v>229</v>
      </c>
      <c r="BR3" s="60" t="s">
        <v>232</v>
      </c>
      <c r="BS3" s="60" t="s">
        <v>235</v>
      </c>
      <c r="BT3" s="60" t="s">
        <v>237</v>
      </c>
      <c r="BU3" s="60" t="s">
        <v>240</v>
      </c>
      <c r="BV3" s="60" t="s">
        <v>241</v>
      </c>
      <c r="BW3" s="60" t="s">
        <v>244</v>
      </c>
      <c r="BX3" s="60" t="s">
        <v>247</v>
      </c>
      <c r="BY3" s="60" t="s">
        <v>250</v>
      </c>
      <c r="BZ3" s="60" t="s">
        <v>253</v>
      </c>
      <c r="CA3" s="60" t="s">
        <v>256</v>
      </c>
      <c r="CB3" s="60" t="s">
        <v>258</v>
      </c>
      <c r="CC3" s="60" t="s">
        <v>261</v>
      </c>
      <c r="CD3" s="60" t="s">
        <v>264</v>
      </c>
      <c r="CE3" s="60" t="s">
        <v>267</v>
      </c>
      <c r="CF3" s="60" t="s">
        <v>270</v>
      </c>
      <c r="CG3" s="60" t="s">
        <v>273</v>
      </c>
      <c r="CH3" s="60" t="s">
        <v>276</v>
      </c>
      <c r="CI3" s="60" t="s">
        <v>279</v>
      </c>
      <c r="CJ3" s="60" t="s">
        <v>282</v>
      </c>
      <c r="CK3" s="60" t="s">
        <v>285</v>
      </c>
      <c r="CL3" s="60" t="s">
        <v>288</v>
      </c>
      <c r="CM3" s="60" t="s">
        <v>291</v>
      </c>
      <c r="CN3" s="60" t="s">
        <v>294</v>
      </c>
      <c r="CO3" s="60" t="s">
        <v>297</v>
      </c>
      <c r="CP3" s="60" t="s">
        <v>300</v>
      </c>
      <c r="CQ3" s="60" t="s">
        <v>303</v>
      </c>
      <c r="CR3" s="60" t="s">
        <v>306</v>
      </c>
      <c r="CS3" s="60" t="s">
        <v>309</v>
      </c>
      <c r="CT3" s="60" t="s">
        <v>312</v>
      </c>
      <c r="CU3" s="60" t="s">
        <v>315</v>
      </c>
      <c r="CV3" s="60" t="s">
        <v>318</v>
      </c>
    </row>
    <row r="4" spans="1:100">
      <c r="A4" s="60" t="s">
        <v>466</v>
      </c>
      <c r="B4" s="60" t="s">
        <v>467</v>
      </c>
      <c r="C4" s="60" t="s">
        <v>468</v>
      </c>
      <c r="D4" s="60" t="s">
        <v>30</v>
      </c>
      <c r="E4" s="60" t="s">
        <v>33</v>
      </c>
      <c r="F4" s="60" t="s">
        <v>36</v>
      </c>
      <c r="G4" s="60" t="s">
        <v>36</v>
      </c>
      <c r="H4" s="60" t="s">
        <v>469</v>
      </c>
      <c r="I4" s="60" t="s">
        <v>470</v>
      </c>
      <c r="J4" s="60" t="s">
        <v>471</v>
      </c>
      <c r="K4" s="60" t="s">
        <v>472</v>
      </c>
      <c r="L4" s="60" t="s">
        <v>473</v>
      </c>
      <c r="M4" s="60" t="s">
        <v>474</v>
      </c>
      <c r="N4" s="60" t="s">
        <v>60</v>
      </c>
      <c r="O4" s="60" t="s">
        <v>63</v>
      </c>
      <c r="P4" s="60" t="s">
        <v>66</v>
      </c>
      <c r="Q4" s="60" t="s">
        <v>66</v>
      </c>
      <c r="R4" s="60" t="s">
        <v>469</v>
      </c>
      <c r="S4" s="60" t="s">
        <v>470</v>
      </c>
      <c r="T4" s="60" t="s">
        <v>471</v>
      </c>
      <c r="U4" s="60" t="s">
        <v>475</v>
      </c>
      <c r="V4" s="60" t="s">
        <v>476</v>
      </c>
      <c r="W4" s="60"/>
      <c r="X4" s="60" t="s">
        <v>477</v>
      </c>
      <c r="Y4" s="60" t="s">
        <v>478</v>
      </c>
      <c r="Z4" s="60" t="s">
        <v>479</v>
      </c>
      <c r="AA4" s="60" t="s">
        <v>102</v>
      </c>
      <c r="AB4" s="60" t="s">
        <v>480</v>
      </c>
      <c r="AC4" s="60" t="s">
        <v>481</v>
      </c>
      <c r="AD4" s="60" t="s">
        <v>482</v>
      </c>
      <c r="AE4" s="60" t="s">
        <v>340</v>
      </c>
      <c r="AF4" s="60" t="s">
        <v>483</v>
      </c>
      <c r="AG4" s="60" t="s">
        <v>484</v>
      </c>
      <c r="AH4" s="60" t="s">
        <v>485</v>
      </c>
      <c r="AI4" s="60" t="s">
        <v>486</v>
      </c>
      <c r="AJ4" s="60" t="s">
        <v>487</v>
      </c>
      <c r="AK4" s="60" t="s">
        <v>488</v>
      </c>
      <c r="AL4" s="60" t="s">
        <v>136</v>
      </c>
      <c r="AM4" s="60" t="s">
        <v>367</v>
      </c>
      <c r="AN4" s="60" t="s">
        <v>142</v>
      </c>
      <c r="AO4" s="60" t="s">
        <v>489</v>
      </c>
      <c r="AP4" s="60" t="s">
        <v>490</v>
      </c>
      <c r="AQ4" s="60" t="s">
        <v>491</v>
      </c>
      <c r="AR4" s="60" t="s">
        <v>492</v>
      </c>
      <c r="AS4" s="60" t="s">
        <v>157</v>
      </c>
      <c r="AT4" s="60" t="s">
        <v>160</v>
      </c>
      <c r="AU4" s="60" t="s">
        <v>163</v>
      </c>
      <c r="AV4" s="60" t="s">
        <v>166</v>
      </c>
      <c r="AW4" s="60" t="s">
        <v>469</v>
      </c>
      <c r="AX4" s="60" t="s">
        <v>470</v>
      </c>
      <c r="AY4" s="60" t="s">
        <v>471</v>
      </c>
      <c r="AZ4" s="60" t="s">
        <v>493</v>
      </c>
      <c r="BA4" s="60" t="s">
        <v>181</v>
      </c>
      <c r="BB4" s="60" t="s">
        <v>184</v>
      </c>
      <c r="BC4" s="60" t="s">
        <v>187</v>
      </c>
      <c r="BD4" s="60" t="s">
        <v>190</v>
      </c>
      <c r="BE4" s="60" t="s">
        <v>193</v>
      </c>
      <c r="BF4" s="60" t="s">
        <v>469</v>
      </c>
      <c r="BG4" s="60" t="s">
        <v>470</v>
      </c>
      <c r="BH4" s="60" t="s">
        <v>471</v>
      </c>
      <c r="BI4" s="60" t="s">
        <v>494</v>
      </c>
      <c r="BJ4" s="60" t="s">
        <v>495</v>
      </c>
      <c r="BK4" s="60" t="s">
        <v>211</v>
      </c>
      <c r="BL4" s="60" t="s">
        <v>214</v>
      </c>
      <c r="BM4" s="60" t="s">
        <v>217</v>
      </c>
      <c r="BN4" s="60" t="s">
        <v>220</v>
      </c>
      <c r="BO4" s="60" t="s">
        <v>469</v>
      </c>
      <c r="BP4" s="60" t="s">
        <v>470</v>
      </c>
      <c r="BQ4" s="60" t="s">
        <v>471</v>
      </c>
      <c r="BR4" s="60" t="s">
        <v>494</v>
      </c>
      <c r="BS4" s="60"/>
      <c r="BT4" s="60" t="s">
        <v>366</v>
      </c>
      <c r="BU4" s="60"/>
      <c r="BV4" s="60" t="s">
        <v>496</v>
      </c>
      <c r="BW4" s="60" t="s">
        <v>497</v>
      </c>
      <c r="BX4" s="60" t="s">
        <v>498</v>
      </c>
      <c r="BY4" s="60" t="s">
        <v>367</v>
      </c>
      <c r="BZ4" s="60" t="s">
        <v>499</v>
      </c>
      <c r="CA4" s="60" t="s">
        <v>256</v>
      </c>
      <c r="CB4" s="60" t="s">
        <v>500</v>
      </c>
      <c r="CC4" s="60" t="s">
        <v>367</v>
      </c>
      <c r="CD4" s="60" t="s">
        <v>501</v>
      </c>
      <c r="CE4" s="60"/>
      <c r="CF4" s="60" t="s">
        <v>270</v>
      </c>
      <c r="CG4" s="60" t="s">
        <v>273</v>
      </c>
      <c r="CH4" s="60" t="s">
        <v>276</v>
      </c>
      <c r="CI4" s="60" t="s">
        <v>279</v>
      </c>
      <c r="CJ4" s="60" t="s">
        <v>469</v>
      </c>
      <c r="CK4" s="60" t="s">
        <v>470</v>
      </c>
      <c r="CL4" s="60" t="s">
        <v>471</v>
      </c>
      <c r="CM4" s="60" t="s">
        <v>494</v>
      </c>
      <c r="CN4" s="60" t="s">
        <v>502</v>
      </c>
      <c r="CO4" s="60" t="s">
        <v>503</v>
      </c>
      <c r="CP4" s="60" t="s">
        <v>504</v>
      </c>
      <c r="CQ4" s="60" t="s">
        <v>366</v>
      </c>
      <c r="CR4" s="60" t="s">
        <v>366</v>
      </c>
      <c r="CS4" s="60" t="s">
        <v>505</v>
      </c>
      <c r="CT4" s="60" t="s">
        <v>506</v>
      </c>
      <c r="CU4" s="60" t="s">
        <v>507</v>
      </c>
      <c r="CV4" s="60" t="s">
        <v>508</v>
      </c>
    </row>
    <row r="5" spans="1:100">
      <c r="A5" s="60" t="s">
        <v>466</v>
      </c>
      <c r="B5" s="60" t="s">
        <v>467</v>
      </c>
      <c r="C5" s="60" t="s">
        <v>468</v>
      </c>
      <c r="D5" s="60" t="s">
        <v>30</v>
      </c>
      <c r="E5" s="60" t="s">
        <v>33</v>
      </c>
      <c r="F5" s="60" t="s">
        <v>36</v>
      </c>
      <c r="G5" s="60" t="s">
        <v>36</v>
      </c>
      <c r="H5" s="60" t="s">
        <v>469</v>
      </c>
      <c r="I5" s="60" t="s">
        <v>470</v>
      </c>
      <c r="J5" s="60" t="s">
        <v>471</v>
      </c>
      <c r="K5" s="60" t="s">
        <v>472</v>
      </c>
      <c r="L5" s="60" t="s">
        <v>473</v>
      </c>
      <c r="M5" s="60" t="s">
        <v>474</v>
      </c>
      <c r="N5" s="60" t="s">
        <v>60</v>
      </c>
      <c r="O5" s="60" t="s">
        <v>63</v>
      </c>
      <c r="P5" s="60" t="s">
        <v>66</v>
      </c>
      <c r="Q5" s="60" t="s">
        <v>66</v>
      </c>
      <c r="R5" s="60" t="s">
        <v>469</v>
      </c>
      <c r="S5" s="60" t="s">
        <v>470</v>
      </c>
      <c r="T5" s="60" t="s">
        <v>471</v>
      </c>
      <c r="U5" s="60" t="s">
        <v>475</v>
      </c>
      <c r="V5" s="60" t="s">
        <v>476</v>
      </c>
      <c r="W5" s="60"/>
      <c r="X5" s="60" t="s">
        <v>477</v>
      </c>
      <c r="Y5" s="60" t="s">
        <v>478</v>
      </c>
      <c r="Z5" s="60" t="s">
        <v>479</v>
      </c>
      <c r="AA5" s="60" t="s">
        <v>102</v>
      </c>
      <c r="AB5" s="60" t="s">
        <v>480</v>
      </c>
      <c r="AC5" s="60" t="s">
        <v>481</v>
      </c>
      <c r="AD5" s="60" t="s">
        <v>482</v>
      </c>
      <c r="AE5" s="60" t="s">
        <v>340</v>
      </c>
      <c r="AF5" s="60" t="s">
        <v>483</v>
      </c>
      <c r="AG5" s="60" t="s">
        <v>484</v>
      </c>
      <c r="AH5" s="60" t="s">
        <v>485</v>
      </c>
      <c r="AI5" s="60" t="s">
        <v>486</v>
      </c>
      <c r="AJ5" s="60" t="s">
        <v>487</v>
      </c>
      <c r="AK5" s="60" t="s">
        <v>488</v>
      </c>
      <c r="AL5" s="60" t="s">
        <v>136</v>
      </c>
      <c r="AM5" s="60" t="s">
        <v>367</v>
      </c>
      <c r="AN5" s="60" t="s">
        <v>142</v>
      </c>
      <c r="AO5" s="60" t="s">
        <v>489</v>
      </c>
      <c r="AP5" s="60" t="s">
        <v>490</v>
      </c>
      <c r="AQ5" s="60" t="s">
        <v>491</v>
      </c>
      <c r="AR5" s="60" t="s">
        <v>492</v>
      </c>
      <c r="AS5" s="60" t="s">
        <v>157</v>
      </c>
      <c r="AT5" s="60" t="s">
        <v>160</v>
      </c>
      <c r="AU5" s="60" t="s">
        <v>163</v>
      </c>
      <c r="AV5" s="60" t="s">
        <v>166</v>
      </c>
      <c r="AW5" s="60" t="s">
        <v>469</v>
      </c>
      <c r="AX5" s="60" t="s">
        <v>470</v>
      </c>
      <c r="AY5" s="60" t="s">
        <v>471</v>
      </c>
      <c r="AZ5" s="60" t="s">
        <v>493</v>
      </c>
      <c r="BA5" s="60" t="s">
        <v>181</v>
      </c>
      <c r="BB5" s="60" t="s">
        <v>184</v>
      </c>
      <c r="BC5" s="60" t="s">
        <v>187</v>
      </c>
      <c r="BD5" s="60" t="s">
        <v>190</v>
      </c>
      <c r="BE5" s="60" t="s">
        <v>193</v>
      </c>
      <c r="BF5" s="60" t="s">
        <v>469</v>
      </c>
      <c r="BG5" s="60" t="s">
        <v>470</v>
      </c>
      <c r="BH5" s="60" t="s">
        <v>471</v>
      </c>
      <c r="BI5" s="60" t="s">
        <v>494</v>
      </c>
      <c r="BJ5" s="60" t="s">
        <v>495</v>
      </c>
      <c r="BK5" s="60" t="s">
        <v>211</v>
      </c>
      <c r="BL5" s="60" t="s">
        <v>214</v>
      </c>
      <c r="BM5" s="60" t="s">
        <v>217</v>
      </c>
      <c r="BN5" s="60" t="s">
        <v>220</v>
      </c>
      <c r="BO5" s="60" t="s">
        <v>469</v>
      </c>
      <c r="BP5" s="60" t="s">
        <v>470</v>
      </c>
      <c r="BQ5" s="60" t="s">
        <v>471</v>
      </c>
      <c r="BR5" s="60" t="s">
        <v>494</v>
      </c>
      <c r="BS5" s="60"/>
      <c r="BT5" s="60" t="s">
        <v>366</v>
      </c>
      <c r="BU5" s="60"/>
      <c r="BV5" s="60" t="s">
        <v>496</v>
      </c>
      <c r="BW5" s="60" t="s">
        <v>497</v>
      </c>
      <c r="BX5" s="60" t="s">
        <v>498</v>
      </c>
      <c r="BY5" s="60" t="s">
        <v>367</v>
      </c>
      <c r="BZ5" s="60" t="s">
        <v>499</v>
      </c>
      <c r="CA5" s="60" t="s">
        <v>256</v>
      </c>
      <c r="CB5" s="60" t="s">
        <v>500</v>
      </c>
      <c r="CC5" s="60" t="s">
        <v>367</v>
      </c>
      <c r="CD5" s="60" t="s">
        <v>501</v>
      </c>
      <c r="CE5" s="60"/>
      <c r="CF5" s="60" t="s">
        <v>270</v>
      </c>
      <c r="CG5" s="60" t="s">
        <v>273</v>
      </c>
      <c r="CH5" s="60" t="s">
        <v>276</v>
      </c>
      <c r="CI5" s="60" t="s">
        <v>279</v>
      </c>
      <c r="CJ5" s="60" t="s">
        <v>469</v>
      </c>
      <c r="CK5" s="60" t="s">
        <v>470</v>
      </c>
      <c r="CL5" s="60" t="s">
        <v>471</v>
      </c>
      <c r="CM5" s="60" t="s">
        <v>494</v>
      </c>
      <c r="CN5" s="60" t="s">
        <v>502</v>
      </c>
      <c r="CO5" s="60" t="s">
        <v>503</v>
      </c>
      <c r="CP5" s="60" t="s">
        <v>504</v>
      </c>
      <c r="CQ5" s="60" t="s">
        <v>366</v>
      </c>
      <c r="CR5" s="60" t="s">
        <v>366</v>
      </c>
      <c r="CS5" s="60" t="s">
        <v>505</v>
      </c>
      <c r="CT5" s="60" t="s">
        <v>506</v>
      </c>
      <c r="CU5" s="60" t="s">
        <v>509</v>
      </c>
      <c r="CV5" s="60" t="s">
        <v>510</v>
      </c>
    </row>
    <row r="6" spans="1:100">
      <c r="A6" s="60" t="s">
        <v>466</v>
      </c>
      <c r="B6" s="60" t="s">
        <v>467</v>
      </c>
      <c r="C6" s="60" t="s">
        <v>468</v>
      </c>
      <c r="D6" s="60" t="s">
        <v>30</v>
      </c>
      <c r="E6" s="60" t="s">
        <v>33</v>
      </c>
      <c r="F6" s="60" t="s">
        <v>36</v>
      </c>
      <c r="G6" s="60" t="s">
        <v>36</v>
      </c>
      <c r="H6" s="60" t="s">
        <v>469</v>
      </c>
      <c r="I6" s="60" t="s">
        <v>470</v>
      </c>
      <c r="J6" s="60" t="s">
        <v>471</v>
      </c>
      <c r="K6" s="60" t="s">
        <v>472</v>
      </c>
      <c r="L6" s="60" t="s">
        <v>473</v>
      </c>
      <c r="M6" s="60" t="s">
        <v>474</v>
      </c>
      <c r="N6" s="60" t="s">
        <v>60</v>
      </c>
      <c r="O6" s="60" t="s">
        <v>63</v>
      </c>
      <c r="P6" s="60" t="s">
        <v>66</v>
      </c>
      <c r="Q6" s="60" t="s">
        <v>66</v>
      </c>
      <c r="R6" s="60" t="s">
        <v>469</v>
      </c>
      <c r="S6" s="60" t="s">
        <v>470</v>
      </c>
      <c r="T6" s="60" t="s">
        <v>471</v>
      </c>
      <c r="U6" s="60" t="s">
        <v>475</v>
      </c>
      <c r="V6" s="60" t="s">
        <v>476</v>
      </c>
      <c r="W6" s="60"/>
      <c r="X6" s="60" t="s">
        <v>477</v>
      </c>
      <c r="Y6" s="60" t="s">
        <v>478</v>
      </c>
      <c r="Z6" s="60" t="s">
        <v>479</v>
      </c>
      <c r="AA6" s="60" t="s">
        <v>102</v>
      </c>
      <c r="AB6" s="60" t="s">
        <v>480</v>
      </c>
      <c r="AC6" s="60" t="s">
        <v>481</v>
      </c>
      <c r="AD6" s="60" t="s">
        <v>482</v>
      </c>
      <c r="AE6" s="60" t="s">
        <v>340</v>
      </c>
      <c r="AF6" s="60" t="s">
        <v>483</v>
      </c>
      <c r="AG6" s="60" t="s">
        <v>484</v>
      </c>
      <c r="AH6" s="60" t="s">
        <v>485</v>
      </c>
      <c r="AI6" s="60" t="s">
        <v>486</v>
      </c>
      <c r="AJ6" s="60" t="s">
        <v>487</v>
      </c>
      <c r="AK6" s="60" t="s">
        <v>488</v>
      </c>
      <c r="AL6" s="60" t="s">
        <v>136</v>
      </c>
      <c r="AM6" s="60" t="s">
        <v>367</v>
      </c>
      <c r="AN6" s="60" t="s">
        <v>142</v>
      </c>
      <c r="AO6" s="60" t="s">
        <v>489</v>
      </c>
      <c r="AP6" s="60" t="s">
        <v>490</v>
      </c>
      <c r="AQ6" s="60" t="s">
        <v>491</v>
      </c>
      <c r="AR6" s="60" t="s">
        <v>492</v>
      </c>
      <c r="AS6" s="60" t="s">
        <v>157</v>
      </c>
      <c r="AT6" s="60" t="s">
        <v>160</v>
      </c>
      <c r="AU6" s="60" t="s">
        <v>163</v>
      </c>
      <c r="AV6" s="60" t="s">
        <v>166</v>
      </c>
      <c r="AW6" s="60" t="s">
        <v>469</v>
      </c>
      <c r="AX6" s="60" t="s">
        <v>470</v>
      </c>
      <c r="AY6" s="60" t="s">
        <v>471</v>
      </c>
      <c r="AZ6" s="60" t="s">
        <v>493</v>
      </c>
      <c r="BA6" s="60" t="s">
        <v>181</v>
      </c>
      <c r="BB6" s="60" t="s">
        <v>184</v>
      </c>
      <c r="BC6" s="60" t="s">
        <v>187</v>
      </c>
      <c r="BD6" s="60" t="s">
        <v>190</v>
      </c>
      <c r="BE6" s="60" t="s">
        <v>193</v>
      </c>
      <c r="BF6" s="60" t="s">
        <v>469</v>
      </c>
      <c r="BG6" s="60" t="s">
        <v>470</v>
      </c>
      <c r="BH6" s="60" t="s">
        <v>471</v>
      </c>
      <c r="BI6" s="60" t="s">
        <v>494</v>
      </c>
      <c r="BJ6" s="60" t="s">
        <v>495</v>
      </c>
      <c r="BK6" s="60" t="s">
        <v>211</v>
      </c>
      <c r="BL6" s="60" t="s">
        <v>214</v>
      </c>
      <c r="BM6" s="60" t="s">
        <v>217</v>
      </c>
      <c r="BN6" s="60" t="s">
        <v>220</v>
      </c>
      <c r="BO6" s="60" t="s">
        <v>469</v>
      </c>
      <c r="BP6" s="60" t="s">
        <v>470</v>
      </c>
      <c r="BQ6" s="60" t="s">
        <v>471</v>
      </c>
      <c r="BR6" s="60" t="s">
        <v>494</v>
      </c>
      <c r="BS6" s="60"/>
      <c r="BT6" s="60" t="s">
        <v>367</v>
      </c>
      <c r="BU6" s="60"/>
      <c r="BV6" s="60" t="s">
        <v>496</v>
      </c>
      <c r="BW6" s="60" t="s">
        <v>511</v>
      </c>
      <c r="BX6" s="60" t="s">
        <v>512</v>
      </c>
      <c r="BY6" s="60" t="s">
        <v>513</v>
      </c>
      <c r="BZ6" s="60" t="s">
        <v>499</v>
      </c>
      <c r="CA6" s="60" t="s">
        <v>256</v>
      </c>
      <c r="CB6" s="60" t="s">
        <v>500</v>
      </c>
      <c r="CC6" s="60" t="s">
        <v>513</v>
      </c>
      <c r="CD6" s="60" t="s">
        <v>501</v>
      </c>
      <c r="CE6" s="60"/>
      <c r="CF6" s="60" t="s">
        <v>270</v>
      </c>
      <c r="CG6" s="60" t="s">
        <v>273</v>
      </c>
      <c r="CH6" s="60" t="s">
        <v>276</v>
      </c>
      <c r="CI6" s="60" t="s">
        <v>279</v>
      </c>
      <c r="CJ6" s="60" t="s">
        <v>469</v>
      </c>
      <c r="CK6" s="60" t="s">
        <v>470</v>
      </c>
      <c r="CL6" s="60" t="s">
        <v>471</v>
      </c>
      <c r="CM6" s="60" t="s">
        <v>494</v>
      </c>
      <c r="CN6" s="60" t="s">
        <v>502</v>
      </c>
      <c r="CO6" s="60" t="s">
        <v>503</v>
      </c>
      <c r="CP6" s="60" t="s">
        <v>514</v>
      </c>
      <c r="CQ6" s="60" t="s">
        <v>366</v>
      </c>
      <c r="CR6" s="60" t="s">
        <v>366</v>
      </c>
      <c r="CS6" s="60" t="s">
        <v>515</v>
      </c>
      <c r="CT6" s="60" t="s">
        <v>516</v>
      </c>
      <c r="CU6" s="60" t="s">
        <v>517</v>
      </c>
      <c r="CV6" s="60" t="s">
        <v>518</v>
      </c>
    </row>
    <row r="7" spans="1:100">
      <c r="A7" s="60" t="s">
        <v>466</v>
      </c>
      <c r="B7" s="60" t="s">
        <v>467</v>
      </c>
      <c r="C7" s="60" t="s">
        <v>468</v>
      </c>
      <c r="D7" s="60" t="s">
        <v>30</v>
      </c>
      <c r="E7" s="60" t="s">
        <v>33</v>
      </c>
      <c r="F7" s="60" t="s">
        <v>36</v>
      </c>
      <c r="G7" s="60" t="s">
        <v>36</v>
      </c>
      <c r="H7" s="60" t="s">
        <v>469</v>
      </c>
      <c r="I7" s="60" t="s">
        <v>470</v>
      </c>
      <c r="J7" s="60" t="s">
        <v>471</v>
      </c>
      <c r="K7" s="60" t="s">
        <v>472</v>
      </c>
      <c r="L7" s="60" t="s">
        <v>473</v>
      </c>
      <c r="M7" s="60" t="s">
        <v>474</v>
      </c>
      <c r="N7" s="60" t="s">
        <v>60</v>
      </c>
      <c r="O7" s="60" t="s">
        <v>63</v>
      </c>
      <c r="P7" s="60" t="s">
        <v>66</v>
      </c>
      <c r="Q7" s="60" t="s">
        <v>66</v>
      </c>
      <c r="R7" s="60" t="s">
        <v>469</v>
      </c>
      <c r="S7" s="60" t="s">
        <v>470</v>
      </c>
      <c r="T7" s="60" t="s">
        <v>471</v>
      </c>
      <c r="U7" s="60" t="s">
        <v>475</v>
      </c>
      <c r="V7" s="60" t="s">
        <v>476</v>
      </c>
      <c r="W7" s="60"/>
      <c r="X7" s="60" t="s">
        <v>477</v>
      </c>
      <c r="Y7" s="60" t="s">
        <v>478</v>
      </c>
      <c r="Z7" s="60" t="s">
        <v>479</v>
      </c>
      <c r="AA7" s="60" t="s">
        <v>102</v>
      </c>
      <c r="AB7" s="60" t="s">
        <v>480</v>
      </c>
      <c r="AC7" s="60" t="s">
        <v>481</v>
      </c>
      <c r="AD7" s="60" t="s">
        <v>482</v>
      </c>
      <c r="AE7" s="60" t="s">
        <v>340</v>
      </c>
      <c r="AF7" s="60" t="s">
        <v>483</v>
      </c>
      <c r="AG7" s="60" t="s">
        <v>484</v>
      </c>
      <c r="AH7" s="60" t="s">
        <v>485</v>
      </c>
      <c r="AI7" s="60" t="s">
        <v>486</v>
      </c>
      <c r="AJ7" s="60" t="s">
        <v>487</v>
      </c>
      <c r="AK7" s="60" t="s">
        <v>488</v>
      </c>
      <c r="AL7" s="60" t="s">
        <v>136</v>
      </c>
      <c r="AM7" s="60" t="s">
        <v>367</v>
      </c>
      <c r="AN7" s="60" t="s">
        <v>142</v>
      </c>
      <c r="AO7" s="60" t="s">
        <v>489</v>
      </c>
      <c r="AP7" s="60" t="s">
        <v>490</v>
      </c>
      <c r="AQ7" s="60" t="s">
        <v>491</v>
      </c>
      <c r="AR7" s="60" t="s">
        <v>492</v>
      </c>
      <c r="AS7" s="60" t="s">
        <v>157</v>
      </c>
      <c r="AT7" s="60" t="s">
        <v>160</v>
      </c>
      <c r="AU7" s="60" t="s">
        <v>163</v>
      </c>
      <c r="AV7" s="60" t="s">
        <v>166</v>
      </c>
      <c r="AW7" s="60" t="s">
        <v>469</v>
      </c>
      <c r="AX7" s="60" t="s">
        <v>470</v>
      </c>
      <c r="AY7" s="60" t="s">
        <v>471</v>
      </c>
      <c r="AZ7" s="60" t="s">
        <v>493</v>
      </c>
      <c r="BA7" s="60" t="s">
        <v>181</v>
      </c>
      <c r="BB7" s="60" t="s">
        <v>184</v>
      </c>
      <c r="BC7" s="60" t="s">
        <v>187</v>
      </c>
      <c r="BD7" s="60" t="s">
        <v>190</v>
      </c>
      <c r="BE7" s="60" t="s">
        <v>193</v>
      </c>
      <c r="BF7" s="60" t="s">
        <v>469</v>
      </c>
      <c r="BG7" s="60" t="s">
        <v>470</v>
      </c>
      <c r="BH7" s="60" t="s">
        <v>471</v>
      </c>
      <c r="BI7" s="60" t="s">
        <v>494</v>
      </c>
      <c r="BJ7" s="60" t="s">
        <v>495</v>
      </c>
      <c r="BK7" s="60" t="s">
        <v>211</v>
      </c>
      <c r="BL7" s="60" t="s">
        <v>214</v>
      </c>
      <c r="BM7" s="60" t="s">
        <v>217</v>
      </c>
      <c r="BN7" s="60" t="s">
        <v>220</v>
      </c>
      <c r="BO7" s="60" t="s">
        <v>469</v>
      </c>
      <c r="BP7" s="60" t="s">
        <v>470</v>
      </c>
      <c r="BQ7" s="60" t="s">
        <v>471</v>
      </c>
      <c r="BR7" s="60" t="s">
        <v>494</v>
      </c>
      <c r="BS7" s="60"/>
      <c r="BT7" s="60" t="s">
        <v>367</v>
      </c>
      <c r="BU7" s="60"/>
      <c r="BV7" s="60" t="s">
        <v>496</v>
      </c>
      <c r="BW7" s="60" t="s">
        <v>511</v>
      </c>
      <c r="BX7" s="60" t="s">
        <v>512</v>
      </c>
      <c r="BY7" s="60" t="s">
        <v>513</v>
      </c>
      <c r="BZ7" s="60" t="s">
        <v>499</v>
      </c>
      <c r="CA7" s="60" t="s">
        <v>256</v>
      </c>
      <c r="CB7" s="60" t="s">
        <v>500</v>
      </c>
      <c r="CC7" s="60" t="s">
        <v>513</v>
      </c>
      <c r="CD7" s="60" t="s">
        <v>501</v>
      </c>
      <c r="CE7" s="60"/>
      <c r="CF7" s="60" t="s">
        <v>270</v>
      </c>
      <c r="CG7" s="60" t="s">
        <v>273</v>
      </c>
      <c r="CH7" s="60" t="s">
        <v>276</v>
      </c>
      <c r="CI7" s="60" t="s">
        <v>279</v>
      </c>
      <c r="CJ7" s="60" t="s">
        <v>469</v>
      </c>
      <c r="CK7" s="60" t="s">
        <v>470</v>
      </c>
      <c r="CL7" s="60" t="s">
        <v>471</v>
      </c>
      <c r="CM7" s="60" t="s">
        <v>494</v>
      </c>
      <c r="CN7" s="60" t="s">
        <v>502</v>
      </c>
      <c r="CO7" s="60" t="s">
        <v>503</v>
      </c>
      <c r="CP7" s="60" t="s">
        <v>514</v>
      </c>
      <c r="CQ7" s="60" t="s">
        <v>366</v>
      </c>
      <c r="CR7" s="60" t="s">
        <v>366</v>
      </c>
      <c r="CS7" s="60" t="s">
        <v>515</v>
      </c>
      <c r="CT7" s="60" t="s">
        <v>516</v>
      </c>
      <c r="CU7" s="60" t="s">
        <v>519</v>
      </c>
      <c r="CV7" s="60" t="s">
        <v>520</v>
      </c>
    </row>
    <row r="8" spans="1:100">
      <c r="A8" s="60" t="s">
        <v>466</v>
      </c>
      <c r="B8" s="60" t="s">
        <v>467</v>
      </c>
      <c r="C8" s="60" t="s">
        <v>468</v>
      </c>
      <c r="D8" s="60" t="s">
        <v>30</v>
      </c>
      <c r="E8" s="60" t="s">
        <v>33</v>
      </c>
      <c r="F8" s="60" t="s">
        <v>36</v>
      </c>
      <c r="G8" s="60" t="s">
        <v>36</v>
      </c>
      <c r="H8" s="60" t="s">
        <v>469</v>
      </c>
      <c r="I8" s="60" t="s">
        <v>470</v>
      </c>
      <c r="J8" s="60" t="s">
        <v>471</v>
      </c>
      <c r="K8" s="60" t="s">
        <v>472</v>
      </c>
      <c r="L8" s="60" t="s">
        <v>473</v>
      </c>
      <c r="M8" s="60" t="s">
        <v>474</v>
      </c>
      <c r="N8" s="60" t="s">
        <v>60</v>
      </c>
      <c r="O8" s="60" t="s">
        <v>63</v>
      </c>
      <c r="P8" s="60" t="s">
        <v>66</v>
      </c>
      <c r="Q8" s="60" t="s">
        <v>66</v>
      </c>
      <c r="R8" s="60" t="s">
        <v>469</v>
      </c>
      <c r="S8" s="60" t="s">
        <v>470</v>
      </c>
      <c r="T8" s="60" t="s">
        <v>471</v>
      </c>
      <c r="U8" s="60" t="s">
        <v>475</v>
      </c>
      <c r="V8" s="60" t="s">
        <v>476</v>
      </c>
      <c r="W8" s="60"/>
      <c r="X8" s="60" t="s">
        <v>477</v>
      </c>
      <c r="Y8" s="60" t="s">
        <v>478</v>
      </c>
      <c r="Z8" s="60" t="s">
        <v>479</v>
      </c>
      <c r="AA8" s="60" t="s">
        <v>102</v>
      </c>
      <c r="AB8" s="60" t="s">
        <v>480</v>
      </c>
      <c r="AC8" s="60" t="s">
        <v>481</v>
      </c>
      <c r="AD8" s="60" t="s">
        <v>482</v>
      </c>
      <c r="AE8" s="60" t="s">
        <v>340</v>
      </c>
      <c r="AF8" s="60" t="s">
        <v>483</v>
      </c>
      <c r="AG8" s="60" t="s">
        <v>484</v>
      </c>
      <c r="AH8" s="60" t="s">
        <v>485</v>
      </c>
      <c r="AI8" s="60" t="s">
        <v>486</v>
      </c>
      <c r="AJ8" s="60" t="s">
        <v>487</v>
      </c>
      <c r="AK8" s="60" t="s">
        <v>488</v>
      </c>
      <c r="AL8" s="60" t="s">
        <v>136</v>
      </c>
      <c r="AM8" s="60" t="s">
        <v>367</v>
      </c>
      <c r="AN8" s="60" t="s">
        <v>142</v>
      </c>
      <c r="AO8" s="60" t="s">
        <v>489</v>
      </c>
      <c r="AP8" s="60" t="s">
        <v>490</v>
      </c>
      <c r="AQ8" s="60" t="s">
        <v>491</v>
      </c>
      <c r="AR8" s="60" t="s">
        <v>492</v>
      </c>
      <c r="AS8" s="60" t="s">
        <v>157</v>
      </c>
      <c r="AT8" s="60" t="s">
        <v>160</v>
      </c>
      <c r="AU8" s="60" t="s">
        <v>163</v>
      </c>
      <c r="AV8" s="60" t="s">
        <v>166</v>
      </c>
      <c r="AW8" s="60" t="s">
        <v>469</v>
      </c>
      <c r="AX8" s="60" t="s">
        <v>470</v>
      </c>
      <c r="AY8" s="60" t="s">
        <v>471</v>
      </c>
      <c r="AZ8" s="60" t="s">
        <v>493</v>
      </c>
      <c r="BA8" s="60" t="s">
        <v>181</v>
      </c>
      <c r="BB8" s="60" t="s">
        <v>184</v>
      </c>
      <c r="BC8" s="60" t="s">
        <v>187</v>
      </c>
      <c r="BD8" s="60" t="s">
        <v>190</v>
      </c>
      <c r="BE8" s="60" t="s">
        <v>193</v>
      </c>
      <c r="BF8" s="60" t="s">
        <v>469</v>
      </c>
      <c r="BG8" s="60" t="s">
        <v>470</v>
      </c>
      <c r="BH8" s="60" t="s">
        <v>471</v>
      </c>
      <c r="BI8" s="60" t="s">
        <v>494</v>
      </c>
      <c r="BJ8" s="60" t="s">
        <v>495</v>
      </c>
      <c r="BK8" s="60" t="s">
        <v>211</v>
      </c>
      <c r="BL8" s="60" t="s">
        <v>214</v>
      </c>
      <c r="BM8" s="60" t="s">
        <v>217</v>
      </c>
      <c r="BN8" s="60" t="s">
        <v>220</v>
      </c>
      <c r="BO8" s="60" t="s">
        <v>469</v>
      </c>
      <c r="BP8" s="60" t="s">
        <v>470</v>
      </c>
      <c r="BQ8" s="60" t="s">
        <v>471</v>
      </c>
      <c r="BR8" s="60" t="s">
        <v>494</v>
      </c>
      <c r="BS8" s="60"/>
      <c r="BT8" s="60" t="s">
        <v>367</v>
      </c>
      <c r="BU8" s="60"/>
      <c r="BV8" s="60" t="s">
        <v>496</v>
      </c>
      <c r="BW8" s="60" t="s">
        <v>511</v>
      </c>
      <c r="BX8" s="60" t="s">
        <v>512</v>
      </c>
      <c r="BY8" s="60" t="s">
        <v>513</v>
      </c>
      <c r="BZ8" s="60" t="s">
        <v>499</v>
      </c>
      <c r="CA8" s="60" t="s">
        <v>256</v>
      </c>
      <c r="CB8" s="60" t="s">
        <v>500</v>
      </c>
      <c r="CC8" s="60" t="s">
        <v>513</v>
      </c>
      <c r="CD8" s="60" t="s">
        <v>501</v>
      </c>
      <c r="CE8" s="60"/>
      <c r="CF8" s="60" t="s">
        <v>270</v>
      </c>
      <c r="CG8" s="60" t="s">
        <v>273</v>
      </c>
      <c r="CH8" s="60" t="s">
        <v>276</v>
      </c>
      <c r="CI8" s="60" t="s">
        <v>279</v>
      </c>
      <c r="CJ8" s="60" t="s">
        <v>469</v>
      </c>
      <c r="CK8" s="60" t="s">
        <v>470</v>
      </c>
      <c r="CL8" s="60" t="s">
        <v>471</v>
      </c>
      <c r="CM8" s="60" t="s">
        <v>494</v>
      </c>
      <c r="CN8" s="60" t="s">
        <v>502</v>
      </c>
      <c r="CO8" s="60" t="s">
        <v>503</v>
      </c>
      <c r="CP8" s="60" t="s">
        <v>514</v>
      </c>
      <c r="CQ8" s="60" t="s">
        <v>366</v>
      </c>
      <c r="CR8" s="60" t="s">
        <v>366</v>
      </c>
      <c r="CS8" s="60" t="s">
        <v>515</v>
      </c>
      <c r="CT8" s="60" t="s">
        <v>516</v>
      </c>
      <c r="CU8" s="60" t="s">
        <v>521</v>
      </c>
      <c r="CV8" s="60" t="s">
        <v>522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8EF0-A910-4BBC-8E52-85E30736EF87}">
  <dimension ref="A1:A85"/>
  <sheetViews>
    <sheetView topLeftCell="A11" workbookViewId="0">
      <selection activeCell="A28" sqref="A28"/>
    </sheetView>
  </sheetViews>
  <sheetFormatPr defaultRowHeight="15"/>
  <cols>
    <col min="1" max="1" width="156" bestFit="1" customWidth="1"/>
  </cols>
  <sheetData>
    <row r="1" spans="1:1">
      <c r="A1" t="s">
        <v>523</v>
      </c>
    </row>
    <row r="2" spans="1:1">
      <c r="A2" t="s">
        <v>524</v>
      </c>
    </row>
    <row r="3" spans="1:1">
      <c r="A3" t="s">
        <v>525</v>
      </c>
    </row>
    <row r="4" spans="1:1">
      <c r="A4" t="s">
        <v>526</v>
      </c>
    </row>
    <row r="5" spans="1:1">
      <c r="A5" t="s">
        <v>527</v>
      </c>
    </row>
    <row r="6" spans="1:1">
      <c r="A6" t="s">
        <v>528</v>
      </c>
    </row>
    <row r="7" spans="1:1">
      <c r="A7" t="s">
        <v>529</v>
      </c>
    </row>
    <row r="8" spans="1:1">
      <c r="A8" t="s">
        <v>530</v>
      </c>
    </row>
    <row r="9" spans="1:1">
      <c r="A9" t="s">
        <v>531</v>
      </c>
    </row>
    <row r="10" spans="1:1">
      <c r="A10" t="s">
        <v>532</v>
      </c>
    </row>
    <row r="11" spans="1:1">
      <c r="A11" t="s">
        <v>533</v>
      </c>
    </row>
    <row r="12" spans="1:1">
      <c r="A12" t="s">
        <v>534</v>
      </c>
    </row>
    <row r="13" spans="1:1">
      <c r="A13" t="s">
        <v>535</v>
      </c>
    </row>
    <row r="14" spans="1:1">
      <c r="A14" t="s">
        <v>536</v>
      </c>
    </row>
    <row r="15" spans="1:1">
      <c r="A15" t="s">
        <v>537</v>
      </c>
    </row>
    <row r="16" spans="1:1">
      <c r="A16" t="s">
        <v>538</v>
      </c>
    </row>
    <row r="17" spans="1:1">
      <c r="A17" t="s">
        <v>539</v>
      </c>
    </row>
    <row r="18" spans="1:1">
      <c r="A18" t="s">
        <v>540</v>
      </c>
    </row>
    <row r="19" spans="1:1">
      <c r="A19" t="s">
        <v>541</v>
      </c>
    </row>
    <row r="20" spans="1:1">
      <c r="A20" t="s">
        <v>542</v>
      </c>
    </row>
    <row r="21" spans="1:1">
      <c r="A21" t="s">
        <v>543</v>
      </c>
    </row>
    <row r="22" spans="1:1">
      <c r="A22" t="s">
        <v>544</v>
      </c>
    </row>
    <row r="23" spans="1:1">
      <c r="A23" t="s">
        <v>545</v>
      </c>
    </row>
    <row r="24" spans="1:1">
      <c r="A24" t="s">
        <v>546</v>
      </c>
    </row>
    <row r="25" spans="1:1">
      <c r="A25" t="s">
        <v>547</v>
      </c>
    </row>
    <row r="26" spans="1:1">
      <c r="A26" t="s">
        <v>548</v>
      </c>
    </row>
    <row r="27" spans="1:1">
      <c r="A27" t="s">
        <v>549</v>
      </c>
    </row>
    <row r="28" spans="1:1">
      <c r="A28" t="s">
        <v>550</v>
      </c>
    </row>
    <row r="29" spans="1:1">
      <c r="A29" t="s">
        <v>551</v>
      </c>
    </row>
    <row r="30" spans="1:1">
      <c r="A30" t="s">
        <v>552</v>
      </c>
    </row>
    <row r="31" spans="1:1">
      <c r="A31" t="s">
        <v>553</v>
      </c>
    </row>
    <row r="32" spans="1:1">
      <c r="A32" t="s">
        <v>554</v>
      </c>
    </row>
    <row r="33" spans="1:1">
      <c r="A33" t="s">
        <v>555</v>
      </c>
    </row>
    <row r="34" spans="1:1">
      <c r="A34" t="s">
        <v>556</v>
      </c>
    </row>
    <row r="35" spans="1:1">
      <c r="A35" t="s">
        <v>557</v>
      </c>
    </row>
    <row r="36" spans="1:1">
      <c r="A36" t="s">
        <v>558</v>
      </c>
    </row>
    <row r="37" spans="1:1">
      <c r="A37" t="s">
        <v>559</v>
      </c>
    </row>
    <row r="38" spans="1:1">
      <c r="A38" t="s">
        <v>560</v>
      </c>
    </row>
    <row r="39" spans="1:1">
      <c r="A39" t="s">
        <v>561</v>
      </c>
    </row>
    <row r="40" spans="1:1">
      <c r="A40" t="s">
        <v>562</v>
      </c>
    </row>
    <row r="41" spans="1:1">
      <c r="A41" t="s">
        <v>563</v>
      </c>
    </row>
    <row r="42" spans="1:1">
      <c r="A42" t="s">
        <v>564</v>
      </c>
    </row>
    <row r="43" spans="1:1">
      <c r="A43" t="s">
        <v>565</v>
      </c>
    </row>
    <row r="44" spans="1:1">
      <c r="A44" t="s">
        <v>566</v>
      </c>
    </row>
    <row r="45" spans="1:1">
      <c r="A45" t="s">
        <v>567</v>
      </c>
    </row>
    <row r="46" spans="1:1">
      <c r="A46" t="s">
        <v>568</v>
      </c>
    </row>
    <row r="47" spans="1:1">
      <c r="A47" t="s">
        <v>559</v>
      </c>
    </row>
    <row r="48" spans="1:1">
      <c r="A48" t="s">
        <v>569</v>
      </c>
    </row>
    <row r="49" spans="1:1">
      <c r="A49" t="s">
        <v>570</v>
      </c>
    </row>
    <row r="50" spans="1:1">
      <c r="A50" t="s">
        <v>571</v>
      </c>
    </row>
    <row r="51" spans="1:1">
      <c r="A51" t="s">
        <v>559</v>
      </c>
    </row>
    <row r="52" spans="1:1">
      <c r="A52" t="s">
        <v>572</v>
      </c>
    </row>
    <row r="53" spans="1:1">
      <c r="A53" t="s">
        <v>573</v>
      </c>
    </row>
    <row r="54" spans="1:1">
      <c r="A54" t="s">
        <v>574</v>
      </c>
    </row>
    <row r="55" spans="1:1">
      <c r="A55" t="s">
        <v>575</v>
      </c>
    </row>
    <row r="56" spans="1:1">
      <c r="A56" t="s">
        <v>576</v>
      </c>
    </row>
    <row r="57" spans="1:1">
      <c r="A57" t="s">
        <v>577</v>
      </c>
    </row>
    <row r="58" spans="1:1">
      <c r="A58" t="s">
        <v>578</v>
      </c>
    </row>
    <row r="59" spans="1:1">
      <c r="A59" t="s">
        <v>579</v>
      </c>
    </row>
    <row r="60" spans="1:1">
      <c r="A60" t="s">
        <v>580</v>
      </c>
    </row>
    <row r="61" spans="1:1">
      <c r="A61" t="s">
        <v>581</v>
      </c>
    </row>
    <row r="62" spans="1:1">
      <c r="A62" t="s">
        <v>582</v>
      </c>
    </row>
    <row r="63" spans="1:1">
      <c r="A63" t="s">
        <v>564</v>
      </c>
    </row>
    <row r="64" spans="1:1">
      <c r="A64" t="s">
        <v>583</v>
      </c>
    </row>
    <row r="65" spans="1:1">
      <c r="A65" t="s">
        <v>566</v>
      </c>
    </row>
    <row r="66" spans="1:1">
      <c r="A66" t="s">
        <v>567</v>
      </c>
    </row>
    <row r="67" spans="1:1">
      <c r="A67" t="s">
        <v>568</v>
      </c>
    </row>
    <row r="68" spans="1:1">
      <c r="A68" t="s">
        <v>559</v>
      </c>
    </row>
    <row r="69" spans="1:1">
      <c r="A69" t="s">
        <v>584</v>
      </c>
    </row>
    <row r="70" spans="1:1">
      <c r="A70" t="s">
        <v>570</v>
      </c>
    </row>
    <row r="71" spans="1:1">
      <c r="A71" t="s">
        <v>571</v>
      </c>
    </row>
    <row r="72" spans="1:1">
      <c r="A72" t="s">
        <v>559</v>
      </c>
    </row>
    <row r="73" spans="1:1">
      <c r="A73" t="s">
        <v>572</v>
      </c>
    </row>
    <row r="74" spans="1:1">
      <c r="A74" t="s">
        <v>585</v>
      </c>
    </row>
    <row r="75" spans="1:1">
      <c r="A75" t="s">
        <v>586</v>
      </c>
    </row>
    <row r="76" spans="1:1">
      <c r="A76" t="s">
        <v>587</v>
      </c>
    </row>
    <row r="77" spans="1:1">
      <c r="A77" t="s">
        <v>588</v>
      </c>
    </row>
    <row r="78" spans="1:1">
      <c r="A78" t="s">
        <v>589</v>
      </c>
    </row>
    <row r="79" spans="1:1">
      <c r="A79" t="s">
        <v>590</v>
      </c>
    </row>
    <row r="80" spans="1:1">
      <c r="A80" t="s">
        <v>591</v>
      </c>
    </row>
    <row r="81" spans="1:1">
      <c r="A81" t="s">
        <v>592</v>
      </c>
    </row>
    <row r="82" spans="1:1">
      <c r="A82" t="s">
        <v>593</v>
      </c>
    </row>
    <row r="83" spans="1:1">
      <c r="A83" t="s">
        <v>594</v>
      </c>
    </row>
    <row r="84" spans="1:1">
      <c r="A84" t="s">
        <v>595</v>
      </c>
    </row>
    <row r="85" spans="1:1">
      <c r="A85" t="s">
        <v>596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E0F6-7C1A-49B0-93FC-8389384BCD97}">
  <sheetPr>
    <pageSetUpPr fitToPage="1"/>
  </sheetPr>
  <dimension ref="A1:N383"/>
  <sheetViews>
    <sheetView workbookViewId="0">
      <pane xSplit="4" ySplit="3" topLeftCell="E253" activePane="bottomRight" state="frozen"/>
      <selection pane="bottomRight" activeCell="D15" sqref="D15"/>
      <selection pane="bottomLeft" activeCell="A4" sqref="A4"/>
      <selection pane="topRight" activeCell="D1" sqref="D1"/>
    </sheetView>
  </sheetViews>
  <sheetFormatPr defaultRowHeight="10.5"/>
  <cols>
    <col min="1" max="1" width="5.42578125" style="42" bestFit="1" customWidth="1"/>
    <col min="2" max="2" width="32.85546875" style="42" bestFit="1" customWidth="1"/>
    <col min="3" max="3" width="10.28515625" style="42" customWidth="1"/>
    <col min="4" max="4" width="29.42578125" style="43" bestFit="1" customWidth="1"/>
    <col min="5" max="5" width="10.28515625" style="42" customWidth="1"/>
    <col min="6" max="6" width="31.42578125" style="43" customWidth="1"/>
    <col min="7" max="7" width="13.42578125" style="42" bestFit="1" customWidth="1"/>
    <col min="8" max="8" width="7.85546875" style="42" bestFit="1" customWidth="1"/>
    <col min="9" max="9" width="30.5703125" style="42" customWidth="1"/>
    <col min="10" max="10" width="39.42578125" style="42" bestFit="1" customWidth="1"/>
    <col min="11" max="11" width="50.5703125" style="43" customWidth="1"/>
    <col min="12" max="12" width="13.85546875" style="43" bestFit="1" customWidth="1"/>
    <col min="13" max="13" width="7.5703125" style="44" bestFit="1" customWidth="1"/>
    <col min="14" max="14" width="13.42578125" style="42" bestFit="1" customWidth="1"/>
    <col min="15" max="258" width="9.140625" style="42"/>
    <col min="259" max="259" width="5.42578125" style="42" bestFit="1" customWidth="1"/>
    <col min="260" max="260" width="32.85546875" style="42" bestFit="1" customWidth="1"/>
    <col min="261" max="261" width="29.42578125" style="42" bestFit="1" customWidth="1"/>
    <col min="262" max="262" width="31.42578125" style="42" customWidth="1"/>
    <col min="263" max="263" width="13.42578125" style="42" bestFit="1" customWidth="1"/>
    <col min="264" max="264" width="7.85546875" style="42" bestFit="1" customWidth="1"/>
    <col min="265" max="265" width="30.5703125" style="42" customWidth="1"/>
    <col min="266" max="266" width="39.42578125" style="42" bestFit="1" customWidth="1"/>
    <col min="267" max="267" width="50.5703125" style="42" customWidth="1"/>
    <col min="268" max="268" width="13.85546875" style="42" bestFit="1" customWidth="1"/>
    <col min="269" max="269" width="7.5703125" style="42" bestFit="1" customWidth="1"/>
    <col min="270" max="270" width="13.42578125" style="42" bestFit="1" customWidth="1"/>
    <col min="271" max="514" width="9.140625" style="42"/>
    <col min="515" max="515" width="5.42578125" style="42" bestFit="1" customWidth="1"/>
    <col min="516" max="516" width="32.85546875" style="42" bestFit="1" customWidth="1"/>
    <col min="517" max="517" width="29.42578125" style="42" bestFit="1" customWidth="1"/>
    <col min="518" max="518" width="31.42578125" style="42" customWidth="1"/>
    <col min="519" max="519" width="13.42578125" style="42" bestFit="1" customWidth="1"/>
    <col min="520" max="520" width="7.85546875" style="42" bestFit="1" customWidth="1"/>
    <col min="521" max="521" width="30.5703125" style="42" customWidth="1"/>
    <col min="522" max="522" width="39.42578125" style="42" bestFit="1" customWidth="1"/>
    <col min="523" max="523" width="50.5703125" style="42" customWidth="1"/>
    <col min="524" max="524" width="13.85546875" style="42" bestFit="1" customWidth="1"/>
    <col min="525" max="525" width="7.5703125" style="42" bestFit="1" customWidth="1"/>
    <col min="526" max="526" width="13.42578125" style="42" bestFit="1" customWidth="1"/>
    <col min="527" max="770" width="9.140625" style="42"/>
    <col min="771" max="771" width="5.42578125" style="42" bestFit="1" customWidth="1"/>
    <col min="772" max="772" width="32.85546875" style="42" bestFit="1" customWidth="1"/>
    <col min="773" max="773" width="29.42578125" style="42" bestFit="1" customWidth="1"/>
    <col min="774" max="774" width="31.42578125" style="42" customWidth="1"/>
    <col min="775" max="775" width="13.42578125" style="42" bestFit="1" customWidth="1"/>
    <col min="776" max="776" width="7.85546875" style="42" bestFit="1" customWidth="1"/>
    <col min="777" max="777" width="30.5703125" style="42" customWidth="1"/>
    <col min="778" max="778" width="39.42578125" style="42" bestFit="1" customWidth="1"/>
    <col min="779" max="779" width="50.5703125" style="42" customWidth="1"/>
    <col min="780" max="780" width="13.85546875" style="42" bestFit="1" customWidth="1"/>
    <col min="781" max="781" width="7.5703125" style="42" bestFit="1" customWidth="1"/>
    <col min="782" max="782" width="13.42578125" style="42" bestFit="1" customWidth="1"/>
    <col min="783" max="1026" width="9.140625" style="42"/>
    <col min="1027" max="1027" width="5.42578125" style="42" bestFit="1" customWidth="1"/>
    <col min="1028" max="1028" width="32.85546875" style="42" bestFit="1" customWidth="1"/>
    <col min="1029" max="1029" width="29.42578125" style="42" bestFit="1" customWidth="1"/>
    <col min="1030" max="1030" width="31.42578125" style="42" customWidth="1"/>
    <col min="1031" max="1031" width="13.42578125" style="42" bestFit="1" customWidth="1"/>
    <col min="1032" max="1032" width="7.85546875" style="42" bestFit="1" customWidth="1"/>
    <col min="1033" max="1033" width="30.5703125" style="42" customWidth="1"/>
    <col min="1034" max="1034" width="39.42578125" style="42" bestFit="1" customWidth="1"/>
    <col min="1035" max="1035" width="50.5703125" style="42" customWidth="1"/>
    <col min="1036" max="1036" width="13.85546875" style="42" bestFit="1" customWidth="1"/>
    <col min="1037" max="1037" width="7.5703125" style="42" bestFit="1" customWidth="1"/>
    <col min="1038" max="1038" width="13.42578125" style="42" bestFit="1" customWidth="1"/>
    <col min="1039" max="1282" width="9.140625" style="42"/>
    <col min="1283" max="1283" width="5.42578125" style="42" bestFit="1" customWidth="1"/>
    <col min="1284" max="1284" width="32.85546875" style="42" bestFit="1" customWidth="1"/>
    <col min="1285" max="1285" width="29.42578125" style="42" bestFit="1" customWidth="1"/>
    <col min="1286" max="1286" width="31.42578125" style="42" customWidth="1"/>
    <col min="1287" max="1287" width="13.42578125" style="42" bestFit="1" customWidth="1"/>
    <col min="1288" max="1288" width="7.85546875" style="42" bestFit="1" customWidth="1"/>
    <col min="1289" max="1289" width="30.5703125" style="42" customWidth="1"/>
    <col min="1290" max="1290" width="39.42578125" style="42" bestFit="1" customWidth="1"/>
    <col min="1291" max="1291" width="50.5703125" style="42" customWidth="1"/>
    <col min="1292" max="1292" width="13.85546875" style="42" bestFit="1" customWidth="1"/>
    <col min="1293" max="1293" width="7.5703125" style="42" bestFit="1" customWidth="1"/>
    <col min="1294" max="1294" width="13.42578125" style="42" bestFit="1" customWidth="1"/>
    <col min="1295" max="1538" width="9.140625" style="42"/>
    <col min="1539" max="1539" width="5.42578125" style="42" bestFit="1" customWidth="1"/>
    <col min="1540" max="1540" width="32.85546875" style="42" bestFit="1" customWidth="1"/>
    <col min="1541" max="1541" width="29.42578125" style="42" bestFit="1" customWidth="1"/>
    <col min="1542" max="1542" width="31.42578125" style="42" customWidth="1"/>
    <col min="1543" max="1543" width="13.42578125" style="42" bestFit="1" customWidth="1"/>
    <col min="1544" max="1544" width="7.85546875" style="42" bestFit="1" customWidth="1"/>
    <col min="1545" max="1545" width="30.5703125" style="42" customWidth="1"/>
    <col min="1546" max="1546" width="39.42578125" style="42" bestFit="1" customWidth="1"/>
    <col min="1547" max="1547" width="50.5703125" style="42" customWidth="1"/>
    <col min="1548" max="1548" width="13.85546875" style="42" bestFit="1" customWidth="1"/>
    <col min="1549" max="1549" width="7.5703125" style="42" bestFit="1" customWidth="1"/>
    <col min="1550" max="1550" width="13.42578125" style="42" bestFit="1" customWidth="1"/>
    <col min="1551" max="1794" width="9.140625" style="42"/>
    <col min="1795" max="1795" width="5.42578125" style="42" bestFit="1" customWidth="1"/>
    <col min="1796" max="1796" width="32.85546875" style="42" bestFit="1" customWidth="1"/>
    <col min="1797" max="1797" width="29.42578125" style="42" bestFit="1" customWidth="1"/>
    <col min="1798" max="1798" width="31.42578125" style="42" customWidth="1"/>
    <col min="1799" max="1799" width="13.42578125" style="42" bestFit="1" customWidth="1"/>
    <col min="1800" max="1800" width="7.85546875" style="42" bestFit="1" customWidth="1"/>
    <col min="1801" max="1801" width="30.5703125" style="42" customWidth="1"/>
    <col min="1802" max="1802" width="39.42578125" style="42" bestFit="1" customWidth="1"/>
    <col min="1803" max="1803" width="50.5703125" style="42" customWidth="1"/>
    <col min="1804" max="1804" width="13.85546875" style="42" bestFit="1" customWidth="1"/>
    <col min="1805" max="1805" width="7.5703125" style="42" bestFit="1" customWidth="1"/>
    <col min="1806" max="1806" width="13.42578125" style="42" bestFit="1" customWidth="1"/>
    <col min="1807" max="2050" width="9.140625" style="42"/>
    <col min="2051" max="2051" width="5.42578125" style="42" bestFit="1" customWidth="1"/>
    <col min="2052" max="2052" width="32.85546875" style="42" bestFit="1" customWidth="1"/>
    <col min="2053" max="2053" width="29.42578125" style="42" bestFit="1" customWidth="1"/>
    <col min="2054" max="2054" width="31.42578125" style="42" customWidth="1"/>
    <col min="2055" max="2055" width="13.42578125" style="42" bestFit="1" customWidth="1"/>
    <col min="2056" max="2056" width="7.85546875" style="42" bestFit="1" customWidth="1"/>
    <col min="2057" max="2057" width="30.5703125" style="42" customWidth="1"/>
    <col min="2058" max="2058" width="39.42578125" style="42" bestFit="1" customWidth="1"/>
    <col min="2059" max="2059" width="50.5703125" style="42" customWidth="1"/>
    <col min="2060" max="2060" width="13.85546875" style="42" bestFit="1" customWidth="1"/>
    <col min="2061" max="2061" width="7.5703125" style="42" bestFit="1" customWidth="1"/>
    <col min="2062" max="2062" width="13.42578125" style="42" bestFit="1" customWidth="1"/>
    <col min="2063" max="2306" width="9.140625" style="42"/>
    <col min="2307" max="2307" width="5.42578125" style="42" bestFit="1" customWidth="1"/>
    <col min="2308" max="2308" width="32.85546875" style="42" bestFit="1" customWidth="1"/>
    <col min="2309" max="2309" width="29.42578125" style="42" bestFit="1" customWidth="1"/>
    <col min="2310" max="2310" width="31.42578125" style="42" customWidth="1"/>
    <col min="2311" max="2311" width="13.42578125" style="42" bestFit="1" customWidth="1"/>
    <col min="2312" max="2312" width="7.85546875" style="42" bestFit="1" customWidth="1"/>
    <col min="2313" max="2313" width="30.5703125" style="42" customWidth="1"/>
    <col min="2314" max="2314" width="39.42578125" style="42" bestFit="1" customWidth="1"/>
    <col min="2315" max="2315" width="50.5703125" style="42" customWidth="1"/>
    <col min="2316" max="2316" width="13.85546875" style="42" bestFit="1" customWidth="1"/>
    <col min="2317" max="2317" width="7.5703125" style="42" bestFit="1" customWidth="1"/>
    <col min="2318" max="2318" width="13.42578125" style="42" bestFit="1" customWidth="1"/>
    <col min="2319" max="2562" width="9.140625" style="42"/>
    <col min="2563" max="2563" width="5.42578125" style="42" bestFit="1" customWidth="1"/>
    <col min="2564" max="2564" width="32.85546875" style="42" bestFit="1" customWidth="1"/>
    <col min="2565" max="2565" width="29.42578125" style="42" bestFit="1" customWidth="1"/>
    <col min="2566" max="2566" width="31.42578125" style="42" customWidth="1"/>
    <col min="2567" max="2567" width="13.42578125" style="42" bestFit="1" customWidth="1"/>
    <col min="2568" max="2568" width="7.85546875" style="42" bestFit="1" customWidth="1"/>
    <col min="2569" max="2569" width="30.5703125" style="42" customWidth="1"/>
    <col min="2570" max="2570" width="39.42578125" style="42" bestFit="1" customWidth="1"/>
    <col min="2571" max="2571" width="50.5703125" style="42" customWidth="1"/>
    <col min="2572" max="2572" width="13.85546875" style="42" bestFit="1" customWidth="1"/>
    <col min="2573" max="2573" width="7.5703125" style="42" bestFit="1" customWidth="1"/>
    <col min="2574" max="2574" width="13.42578125" style="42" bestFit="1" customWidth="1"/>
    <col min="2575" max="2818" width="9.140625" style="42"/>
    <col min="2819" max="2819" width="5.42578125" style="42" bestFit="1" customWidth="1"/>
    <col min="2820" max="2820" width="32.85546875" style="42" bestFit="1" customWidth="1"/>
    <col min="2821" max="2821" width="29.42578125" style="42" bestFit="1" customWidth="1"/>
    <col min="2822" max="2822" width="31.42578125" style="42" customWidth="1"/>
    <col min="2823" max="2823" width="13.42578125" style="42" bestFit="1" customWidth="1"/>
    <col min="2824" max="2824" width="7.85546875" style="42" bestFit="1" customWidth="1"/>
    <col min="2825" max="2825" width="30.5703125" style="42" customWidth="1"/>
    <col min="2826" max="2826" width="39.42578125" style="42" bestFit="1" customWidth="1"/>
    <col min="2827" max="2827" width="50.5703125" style="42" customWidth="1"/>
    <col min="2828" max="2828" width="13.85546875" style="42" bestFit="1" customWidth="1"/>
    <col min="2829" max="2829" width="7.5703125" style="42" bestFit="1" customWidth="1"/>
    <col min="2830" max="2830" width="13.42578125" style="42" bestFit="1" customWidth="1"/>
    <col min="2831" max="3074" width="9.140625" style="42"/>
    <col min="3075" max="3075" width="5.42578125" style="42" bestFit="1" customWidth="1"/>
    <col min="3076" max="3076" width="32.85546875" style="42" bestFit="1" customWidth="1"/>
    <col min="3077" max="3077" width="29.42578125" style="42" bestFit="1" customWidth="1"/>
    <col min="3078" max="3078" width="31.42578125" style="42" customWidth="1"/>
    <col min="3079" max="3079" width="13.42578125" style="42" bestFit="1" customWidth="1"/>
    <col min="3080" max="3080" width="7.85546875" style="42" bestFit="1" customWidth="1"/>
    <col min="3081" max="3081" width="30.5703125" style="42" customWidth="1"/>
    <col min="3082" max="3082" width="39.42578125" style="42" bestFit="1" customWidth="1"/>
    <col min="3083" max="3083" width="50.5703125" style="42" customWidth="1"/>
    <col min="3084" max="3084" width="13.85546875" style="42" bestFit="1" customWidth="1"/>
    <col min="3085" max="3085" width="7.5703125" style="42" bestFit="1" customWidth="1"/>
    <col min="3086" max="3086" width="13.42578125" style="42" bestFit="1" customWidth="1"/>
    <col min="3087" max="3330" width="9.140625" style="42"/>
    <col min="3331" max="3331" width="5.42578125" style="42" bestFit="1" customWidth="1"/>
    <col min="3332" max="3332" width="32.85546875" style="42" bestFit="1" customWidth="1"/>
    <col min="3333" max="3333" width="29.42578125" style="42" bestFit="1" customWidth="1"/>
    <col min="3334" max="3334" width="31.42578125" style="42" customWidth="1"/>
    <col min="3335" max="3335" width="13.42578125" style="42" bestFit="1" customWidth="1"/>
    <col min="3336" max="3336" width="7.85546875" style="42" bestFit="1" customWidth="1"/>
    <col min="3337" max="3337" width="30.5703125" style="42" customWidth="1"/>
    <col min="3338" max="3338" width="39.42578125" style="42" bestFit="1" customWidth="1"/>
    <col min="3339" max="3339" width="50.5703125" style="42" customWidth="1"/>
    <col min="3340" max="3340" width="13.85546875" style="42" bestFit="1" customWidth="1"/>
    <col min="3341" max="3341" width="7.5703125" style="42" bestFit="1" customWidth="1"/>
    <col min="3342" max="3342" width="13.42578125" style="42" bestFit="1" customWidth="1"/>
    <col min="3343" max="3586" width="9.140625" style="42"/>
    <col min="3587" max="3587" width="5.42578125" style="42" bestFit="1" customWidth="1"/>
    <col min="3588" max="3588" width="32.85546875" style="42" bestFit="1" customWidth="1"/>
    <col min="3589" max="3589" width="29.42578125" style="42" bestFit="1" customWidth="1"/>
    <col min="3590" max="3590" width="31.42578125" style="42" customWidth="1"/>
    <col min="3591" max="3591" width="13.42578125" style="42" bestFit="1" customWidth="1"/>
    <col min="3592" max="3592" width="7.85546875" style="42" bestFit="1" customWidth="1"/>
    <col min="3593" max="3593" width="30.5703125" style="42" customWidth="1"/>
    <col min="3594" max="3594" width="39.42578125" style="42" bestFit="1" customWidth="1"/>
    <col min="3595" max="3595" width="50.5703125" style="42" customWidth="1"/>
    <col min="3596" max="3596" width="13.85546875" style="42" bestFit="1" customWidth="1"/>
    <col min="3597" max="3597" width="7.5703125" style="42" bestFit="1" customWidth="1"/>
    <col min="3598" max="3598" width="13.42578125" style="42" bestFit="1" customWidth="1"/>
    <col min="3599" max="3842" width="9.140625" style="42"/>
    <col min="3843" max="3843" width="5.42578125" style="42" bestFit="1" customWidth="1"/>
    <col min="3844" max="3844" width="32.85546875" style="42" bestFit="1" customWidth="1"/>
    <col min="3845" max="3845" width="29.42578125" style="42" bestFit="1" customWidth="1"/>
    <col min="3846" max="3846" width="31.42578125" style="42" customWidth="1"/>
    <col min="3847" max="3847" width="13.42578125" style="42" bestFit="1" customWidth="1"/>
    <col min="3848" max="3848" width="7.85546875" style="42" bestFit="1" customWidth="1"/>
    <col min="3849" max="3849" width="30.5703125" style="42" customWidth="1"/>
    <col min="3850" max="3850" width="39.42578125" style="42" bestFit="1" customWidth="1"/>
    <col min="3851" max="3851" width="50.5703125" style="42" customWidth="1"/>
    <col min="3852" max="3852" width="13.85546875" style="42" bestFit="1" customWidth="1"/>
    <col min="3853" max="3853" width="7.5703125" style="42" bestFit="1" customWidth="1"/>
    <col min="3854" max="3854" width="13.42578125" style="42" bestFit="1" customWidth="1"/>
    <col min="3855" max="4098" width="9.140625" style="42"/>
    <col min="4099" max="4099" width="5.42578125" style="42" bestFit="1" customWidth="1"/>
    <col min="4100" max="4100" width="32.85546875" style="42" bestFit="1" customWidth="1"/>
    <col min="4101" max="4101" width="29.42578125" style="42" bestFit="1" customWidth="1"/>
    <col min="4102" max="4102" width="31.42578125" style="42" customWidth="1"/>
    <col min="4103" max="4103" width="13.42578125" style="42" bestFit="1" customWidth="1"/>
    <col min="4104" max="4104" width="7.85546875" style="42" bestFit="1" customWidth="1"/>
    <col min="4105" max="4105" width="30.5703125" style="42" customWidth="1"/>
    <col min="4106" max="4106" width="39.42578125" style="42" bestFit="1" customWidth="1"/>
    <col min="4107" max="4107" width="50.5703125" style="42" customWidth="1"/>
    <col min="4108" max="4108" width="13.85546875" style="42" bestFit="1" customWidth="1"/>
    <col min="4109" max="4109" width="7.5703125" style="42" bestFit="1" customWidth="1"/>
    <col min="4110" max="4110" width="13.42578125" style="42" bestFit="1" customWidth="1"/>
    <col min="4111" max="4354" width="9.140625" style="42"/>
    <col min="4355" max="4355" width="5.42578125" style="42" bestFit="1" customWidth="1"/>
    <col min="4356" max="4356" width="32.85546875" style="42" bestFit="1" customWidth="1"/>
    <col min="4357" max="4357" width="29.42578125" style="42" bestFit="1" customWidth="1"/>
    <col min="4358" max="4358" width="31.42578125" style="42" customWidth="1"/>
    <col min="4359" max="4359" width="13.42578125" style="42" bestFit="1" customWidth="1"/>
    <col min="4360" max="4360" width="7.85546875" style="42" bestFit="1" customWidth="1"/>
    <col min="4361" max="4361" width="30.5703125" style="42" customWidth="1"/>
    <col min="4362" max="4362" width="39.42578125" style="42" bestFit="1" customWidth="1"/>
    <col min="4363" max="4363" width="50.5703125" style="42" customWidth="1"/>
    <col min="4364" max="4364" width="13.85546875" style="42" bestFit="1" customWidth="1"/>
    <col min="4365" max="4365" width="7.5703125" style="42" bestFit="1" customWidth="1"/>
    <col min="4366" max="4366" width="13.42578125" style="42" bestFit="1" customWidth="1"/>
    <col min="4367" max="4610" width="9.140625" style="42"/>
    <col min="4611" max="4611" width="5.42578125" style="42" bestFit="1" customWidth="1"/>
    <col min="4612" max="4612" width="32.85546875" style="42" bestFit="1" customWidth="1"/>
    <col min="4613" max="4613" width="29.42578125" style="42" bestFit="1" customWidth="1"/>
    <col min="4614" max="4614" width="31.42578125" style="42" customWidth="1"/>
    <col min="4615" max="4615" width="13.42578125" style="42" bestFit="1" customWidth="1"/>
    <col min="4616" max="4616" width="7.85546875" style="42" bestFit="1" customWidth="1"/>
    <col min="4617" max="4617" width="30.5703125" style="42" customWidth="1"/>
    <col min="4618" max="4618" width="39.42578125" style="42" bestFit="1" customWidth="1"/>
    <col min="4619" max="4619" width="50.5703125" style="42" customWidth="1"/>
    <col min="4620" max="4620" width="13.85546875" style="42" bestFit="1" customWidth="1"/>
    <col min="4621" max="4621" width="7.5703125" style="42" bestFit="1" customWidth="1"/>
    <col min="4622" max="4622" width="13.42578125" style="42" bestFit="1" customWidth="1"/>
    <col min="4623" max="4866" width="9.140625" style="42"/>
    <col min="4867" max="4867" width="5.42578125" style="42" bestFit="1" customWidth="1"/>
    <col min="4868" max="4868" width="32.85546875" style="42" bestFit="1" customWidth="1"/>
    <col min="4869" max="4869" width="29.42578125" style="42" bestFit="1" customWidth="1"/>
    <col min="4870" max="4870" width="31.42578125" style="42" customWidth="1"/>
    <col min="4871" max="4871" width="13.42578125" style="42" bestFit="1" customWidth="1"/>
    <col min="4872" max="4872" width="7.85546875" style="42" bestFit="1" customWidth="1"/>
    <col min="4873" max="4873" width="30.5703125" style="42" customWidth="1"/>
    <col min="4874" max="4874" width="39.42578125" style="42" bestFit="1" customWidth="1"/>
    <col min="4875" max="4875" width="50.5703125" style="42" customWidth="1"/>
    <col min="4876" max="4876" width="13.85546875" style="42" bestFit="1" customWidth="1"/>
    <col min="4877" max="4877" width="7.5703125" style="42" bestFit="1" customWidth="1"/>
    <col min="4878" max="4878" width="13.42578125" style="42" bestFit="1" customWidth="1"/>
    <col min="4879" max="5122" width="9.140625" style="42"/>
    <col min="5123" max="5123" width="5.42578125" style="42" bestFit="1" customWidth="1"/>
    <col min="5124" max="5124" width="32.85546875" style="42" bestFit="1" customWidth="1"/>
    <col min="5125" max="5125" width="29.42578125" style="42" bestFit="1" customWidth="1"/>
    <col min="5126" max="5126" width="31.42578125" style="42" customWidth="1"/>
    <col min="5127" max="5127" width="13.42578125" style="42" bestFit="1" customWidth="1"/>
    <col min="5128" max="5128" width="7.85546875" style="42" bestFit="1" customWidth="1"/>
    <col min="5129" max="5129" width="30.5703125" style="42" customWidth="1"/>
    <col min="5130" max="5130" width="39.42578125" style="42" bestFit="1" customWidth="1"/>
    <col min="5131" max="5131" width="50.5703125" style="42" customWidth="1"/>
    <col min="5132" max="5132" width="13.85546875" style="42" bestFit="1" customWidth="1"/>
    <col min="5133" max="5133" width="7.5703125" style="42" bestFit="1" customWidth="1"/>
    <col min="5134" max="5134" width="13.42578125" style="42" bestFit="1" customWidth="1"/>
    <col min="5135" max="5378" width="9.140625" style="42"/>
    <col min="5379" max="5379" width="5.42578125" style="42" bestFit="1" customWidth="1"/>
    <col min="5380" max="5380" width="32.85546875" style="42" bestFit="1" customWidth="1"/>
    <col min="5381" max="5381" width="29.42578125" style="42" bestFit="1" customWidth="1"/>
    <col min="5382" max="5382" width="31.42578125" style="42" customWidth="1"/>
    <col min="5383" max="5383" width="13.42578125" style="42" bestFit="1" customWidth="1"/>
    <col min="5384" max="5384" width="7.85546875" style="42" bestFit="1" customWidth="1"/>
    <col min="5385" max="5385" width="30.5703125" style="42" customWidth="1"/>
    <col min="5386" max="5386" width="39.42578125" style="42" bestFit="1" customWidth="1"/>
    <col min="5387" max="5387" width="50.5703125" style="42" customWidth="1"/>
    <col min="5388" max="5388" width="13.85546875" style="42" bestFit="1" customWidth="1"/>
    <col min="5389" max="5389" width="7.5703125" style="42" bestFit="1" customWidth="1"/>
    <col min="5390" max="5390" width="13.42578125" style="42" bestFit="1" customWidth="1"/>
    <col min="5391" max="5634" width="9.140625" style="42"/>
    <col min="5635" max="5635" width="5.42578125" style="42" bestFit="1" customWidth="1"/>
    <col min="5636" max="5636" width="32.85546875" style="42" bestFit="1" customWidth="1"/>
    <col min="5637" max="5637" width="29.42578125" style="42" bestFit="1" customWidth="1"/>
    <col min="5638" max="5638" width="31.42578125" style="42" customWidth="1"/>
    <col min="5639" max="5639" width="13.42578125" style="42" bestFit="1" customWidth="1"/>
    <col min="5640" max="5640" width="7.85546875" style="42" bestFit="1" customWidth="1"/>
    <col min="5641" max="5641" width="30.5703125" style="42" customWidth="1"/>
    <col min="5642" max="5642" width="39.42578125" style="42" bestFit="1" customWidth="1"/>
    <col min="5643" max="5643" width="50.5703125" style="42" customWidth="1"/>
    <col min="5644" max="5644" width="13.85546875" style="42" bestFit="1" customWidth="1"/>
    <col min="5645" max="5645" width="7.5703125" style="42" bestFit="1" customWidth="1"/>
    <col min="5646" max="5646" width="13.42578125" style="42" bestFit="1" customWidth="1"/>
    <col min="5647" max="5890" width="9.140625" style="42"/>
    <col min="5891" max="5891" width="5.42578125" style="42" bestFit="1" customWidth="1"/>
    <col min="5892" max="5892" width="32.85546875" style="42" bestFit="1" customWidth="1"/>
    <col min="5893" max="5893" width="29.42578125" style="42" bestFit="1" customWidth="1"/>
    <col min="5894" max="5894" width="31.42578125" style="42" customWidth="1"/>
    <col min="5895" max="5895" width="13.42578125" style="42" bestFit="1" customWidth="1"/>
    <col min="5896" max="5896" width="7.85546875" style="42" bestFit="1" customWidth="1"/>
    <col min="5897" max="5897" width="30.5703125" style="42" customWidth="1"/>
    <col min="5898" max="5898" width="39.42578125" style="42" bestFit="1" customWidth="1"/>
    <col min="5899" max="5899" width="50.5703125" style="42" customWidth="1"/>
    <col min="5900" max="5900" width="13.85546875" style="42" bestFit="1" customWidth="1"/>
    <col min="5901" max="5901" width="7.5703125" style="42" bestFit="1" customWidth="1"/>
    <col min="5902" max="5902" width="13.42578125" style="42" bestFit="1" customWidth="1"/>
    <col min="5903" max="6146" width="9.140625" style="42"/>
    <col min="6147" max="6147" width="5.42578125" style="42" bestFit="1" customWidth="1"/>
    <col min="6148" max="6148" width="32.85546875" style="42" bestFit="1" customWidth="1"/>
    <col min="6149" max="6149" width="29.42578125" style="42" bestFit="1" customWidth="1"/>
    <col min="6150" max="6150" width="31.42578125" style="42" customWidth="1"/>
    <col min="6151" max="6151" width="13.42578125" style="42" bestFit="1" customWidth="1"/>
    <col min="6152" max="6152" width="7.85546875" style="42" bestFit="1" customWidth="1"/>
    <col min="6153" max="6153" width="30.5703125" style="42" customWidth="1"/>
    <col min="6154" max="6154" width="39.42578125" style="42" bestFit="1" customWidth="1"/>
    <col min="6155" max="6155" width="50.5703125" style="42" customWidth="1"/>
    <col min="6156" max="6156" width="13.85546875" style="42" bestFit="1" customWidth="1"/>
    <col min="6157" max="6157" width="7.5703125" style="42" bestFit="1" customWidth="1"/>
    <col min="6158" max="6158" width="13.42578125" style="42" bestFit="1" customWidth="1"/>
    <col min="6159" max="6402" width="9.140625" style="42"/>
    <col min="6403" max="6403" width="5.42578125" style="42" bestFit="1" customWidth="1"/>
    <col min="6404" max="6404" width="32.85546875" style="42" bestFit="1" customWidth="1"/>
    <col min="6405" max="6405" width="29.42578125" style="42" bestFit="1" customWidth="1"/>
    <col min="6406" max="6406" width="31.42578125" style="42" customWidth="1"/>
    <col min="6407" max="6407" width="13.42578125" style="42" bestFit="1" customWidth="1"/>
    <col min="6408" max="6408" width="7.85546875" style="42" bestFit="1" customWidth="1"/>
    <col min="6409" max="6409" width="30.5703125" style="42" customWidth="1"/>
    <col min="6410" max="6410" width="39.42578125" style="42" bestFit="1" customWidth="1"/>
    <col min="6411" max="6411" width="50.5703125" style="42" customWidth="1"/>
    <col min="6412" max="6412" width="13.85546875" style="42" bestFit="1" customWidth="1"/>
    <col min="6413" max="6413" width="7.5703125" style="42" bestFit="1" customWidth="1"/>
    <col min="6414" max="6414" width="13.42578125" style="42" bestFit="1" customWidth="1"/>
    <col min="6415" max="6658" width="9.140625" style="42"/>
    <col min="6659" max="6659" width="5.42578125" style="42" bestFit="1" customWidth="1"/>
    <col min="6660" max="6660" width="32.85546875" style="42" bestFit="1" customWidth="1"/>
    <col min="6661" max="6661" width="29.42578125" style="42" bestFit="1" customWidth="1"/>
    <col min="6662" max="6662" width="31.42578125" style="42" customWidth="1"/>
    <col min="6663" max="6663" width="13.42578125" style="42" bestFit="1" customWidth="1"/>
    <col min="6664" max="6664" width="7.85546875" style="42" bestFit="1" customWidth="1"/>
    <col min="6665" max="6665" width="30.5703125" style="42" customWidth="1"/>
    <col min="6666" max="6666" width="39.42578125" style="42" bestFit="1" customWidth="1"/>
    <col min="6667" max="6667" width="50.5703125" style="42" customWidth="1"/>
    <col min="6668" max="6668" width="13.85546875" style="42" bestFit="1" customWidth="1"/>
    <col min="6669" max="6669" width="7.5703125" style="42" bestFit="1" customWidth="1"/>
    <col min="6670" max="6670" width="13.42578125" style="42" bestFit="1" customWidth="1"/>
    <col min="6671" max="6914" width="9.140625" style="42"/>
    <col min="6915" max="6915" width="5.42578125" style="42" bestFit="1" customWidth="1"/>
    <col min="6916" max="6916" width="32.85546875" style="42" bestFit="1" customWidth="1"/>
    <col min="6917" max="6917" width="29.42578125" style="42" bestFit="1" customWidth="1"/>
    <col min="6918" max="6918" width="31.42578125" style="42" customWidth="1"/>
    <col min="6919" max="6919" width="13.42578125" style="42" bestFit="1" customWidth="1"/>
    <col min="6920" max="6920" width="7.85546875" style="42" bestFit="1" customWidth="1"/>
    <col min="6921" max="6921" width="30.5703125" style="42" customWidth="1"/>
    <col min="6922" max="6922" width="39.42578125" style="42" bestFit="1" customWidth="1"/>
    <col min="6923" max="6923" width="50.5703125" style="42" customWidth="1"/>
    <col min="6924" max="6924" width="13.85546875" style="42" bestFit="1" customWidth="1"/>
    <col min="6925" max="6925" width="7.5703125" style="42" bestFit="1" customWidth="1"/>
    <col min="6926" max="6926" width="13.42578125" style="42" bestFit="1" customWidth="1"/>
    <col min="6927" max="7170" width="9.140625" style="42"/>
    <col min="7171" max="7171" width="5.42578125" style="42" bestFit="1" customWidth="1"/>
    <col min="7172" max="7172" width="32.85546875" style="42" bestFit="1" customWidth="1"/>
    <col min="7173" max="7173" width="29.42578125" style="42" bestFit="1" customWidth="1"/>
    <col min="7174" max="7174" width="31.42578125" style="42" customWidth="1"/>
    <col min="7175" max="7175" width="13.42578125" style="42" bestFit="1" customWidth="1"/>
    <col min="7176" max="7176" width="7.85546875" style="42" bestFit="1" customWidth="1"/>
    <col min="7177" max="7177" width="30.5703125" style="42" customWidth="1"/>
    <col min="7178" max="7178" width="39.42578125" style="42" bestFit="1" customWidth="1"/>
    <col min="7179" max="7179" width="50.5703125" style="42" customWidth="1"/>
    <col min="7180" max="7180" width="13.85546875" style="42" bestFit="1" customWidth="1"/>
    <col min="7181" max="7181" width="7.5703125" style="42" bestFit="1" customWidth="1"/>
    <col min="7182" max="7182" width="13.42578125" style="42" bestFit="1" customWidth="1"/>
    <col min="7183" max="7426" width="9.140625" style="42"/>
    <col min="7427" max="7427" width="5.42578125" style="42" bestFit="1" customWidth="1"/>
    <col min="7428" max="7428" width="32.85546875" style="42" bestFit="1" customWidth="1"/>
    <col min="7429" max="7429" width="29.42578125" style="42" bestFit="1" customWidth="1"/>
    <col min="7430" max="7430" width="31.42578125" style="42" customWidth="1"/>
    <col min="7431" max="7431" width="13.42578125" style="42" bestFit="1" customWidth="1"/>
    <col min="7432" max="7432" width="7.85546875" style="42" bestFit="1" customWidth="1"/>
    <col min="7433" max="7433" width="30.5703125" style="42" customWidth="1"/>
    <col min="7434" max="7434" width="39.42578125" style="42" bestFit="1" customWidth="1"/>
    <col min="7435" max="7435" width="50.5703125" style="42" customWidth="1"/>
    <col min="7436" max="7436" width="13.85546875" style="42" bestFit="1" customWidth="1"/>
    <col min="7437" max="7437" width="7.5703125" style="42" bestFit="1" customWidth="1"/>
    <col min="7438" max="7438" width="13.42578125" style="42" bestFit="1" customWidth="1"/>
    <col min="7439" max="7682" width="9.140625" style="42"/>
    <col min="7683" max="7683" width="5.42578125" style="42" bestFit="1" customWidth="1"/>
    <col min="7684" max="7684" width="32.85546875" style="42" bestFit="1" customWidth="1"/>
    <col min="7685" max="7685" width="29.42578125" style="42" bestFit="1" customWidth="1"/>
    <col min="7686" max="7686" width="31.42578125" style="42" customWidth="1"/>
    <col min="7687" max="7687" width="13.42578125" style="42" bestFit="1" customWidth="1"/>
    <col min="7688" max="7688" width="7.85546875" style="42" bestFit="1" customWidth="1"/>
    <col min="7689" max="7689" width="30.5703125" style="42" customWidth="1"/>
    <col min="7690" max="7690" width="39.42578125" style="42" bestFit="1" customWidth="1"/>
    <col min="7691" max="7691" width="50.5703125" style="42" customWidth="1"/>
    <col min="7692" max="7692" width="13.85546875" style="42" bestFit="1" customWidth="1"/>
    <col min="7693" max="7693" width="7.5703125" style="42" bestFit="1" customWidth="1"/>
    <col min="7694" max="7694" width="13.42578125" style="42" bestFit="1" customWidth="1"/>
    <col min="7695" max="7938" width="9.140625" style="42"/>
    <col min="7939" max="7939" width="5.42578125" style="42" bestFit="1" customWidth="1"/>
    <col min="7940" max="7940" width="32.85546875" style="42" bestFit="1" customWidth="1"/>
    <col min="7941" max="7941" width="29.42578125" style="42" bestFit="1" customWidth="1"/>
    <col min="7942" max="7942" width="31.42578125" style="42" customWidth="1"/>
    <col min="7943" max="7943" width="13.42578125" style="42" bestFit="1" customWidth="1"/>
    <col min="7944" max="7944" width="7.85546875" style="42" bestFit="1" customWidth="1"/>
    <col min="7945" max="7945" width="30.5703125" style="42" customWidth="1"/>
    <col min="7946" max="7946" width="39.42578125" style="42" bestFit="1" customWidth="1"/>
    <col min="7947" max="7947" width="50.5703125" style="42" customWidth="1"/>
    <col min="7948" max="7948" width="13.85546875" style="42" bestFit="1" customWidth="1"/>
    <col min="7949" max="7949" width="7.5703125" style="42" bestFit="1" customWidth="1"/>
    <col min="7950" max="7950" width="13.42578125" style="42" bestFit="1" customWidth="1"/>
    <col min="7951" max="8194" width="9.140625" style="42"/>
    <col min="8195" max="8195" width="5.42578125" style="42" bestFit="1" customWidth="1"/>
    <col min="8196" max="8196" width="32.85546875" style="42" bestFit="1" customWidth="1"/>
    <col min="8197" max="8197" width="29.42578125" style="42" bestFit="1" customWidth="1"/>
    <col min="8198" max="8198" width="31.42578125" style="42" customWidth="1"/>
    <col min="8199" max="8199" width="13.42578125" style="42" bestFit="1" customWidth="1"/>
    <col min="8200" max="8200" width="7.85546875" style="42" bestFit="1" customWidth="1"/>
    <col min="8201" max="8201" width="30.5703125" style="42" customWidth="1"/>
    <col min="8202" max="8202" width="39.42578125" style="42" bestFit="1" customWidth="1"/>
    <col min="8203" max="8203" width="50.5703125" style="42" customWidth="1"/>
    <col min="8204" max="8204" width="13.85546875" style="42" bestFit="1" customWidth="1"/>
    <col min="8205" max="8205" width="7.5703125" style="42" bestFit="1" customWidth="1"/>
    <col min="8206" max="8206" width="13.42578125" style="42" bestFit="1" customWidth="1"/>
    <col min="8207" max="8450" width="9.140625" style="42"/>
    <col min="8451" max="8451" width="5.42578125" style="42" bestFit="1" customWidth="1"/>
    <col min="8452" max="8452" width="32.85546875" style="42" bestFit="1" customWidth="1"/>
    <col min="8453" max="8453" width="29.42578125" style="42" bestFit="1" customWidth="1"/>
    <col min="8454" max="8454" width="31.42578125" style="42" customWidth="1"/>
    <col min="8455" max="8455" width="13.42578125" style="42" bestFit="1" customWidth="1"/>
    <col min="8456" max="8456" width="7.85546875" style="42" bestFit="1" customWidth="1"/>
    <col min="8457" max="8457" width="30.5703125" style="42" customWidth="1"/>
    <col min="8458" max="8458" width="39.42578125" style="42" bestFit="1" customWidth="1"/>
    <col min="8459" max="8459" width="50.5703125" style="42" customWidth="1"/>
    <col min="8460" max="8460" width="13.85546875" style="42" bestFit="1" customWidth="1"/>
    <col min="8461" max="8461" width="7.5703125" style="42" bestFit="1" customWidth="1"/>
    <col min="8462" max="8462" width="13.42578125" style="42" bestFit="1" customWidth="1"/>
    <col min="8463" max="8706" width="9.140625" style="42"/>
    <col min="8707" max="8707" width="5.42578125" style="42" bestFit="1" customWidth="1"/>
    <col min="8708" max="8708" width="32.85546875" style="42" bestFit="1" customWidth="1"/>
    <col min="8709" max="8709" width="29.42578125" style="42" bestFit="1" customWidth="1"/>
    <col min="8710" max="8710" width="31.42578125" style="42" customWidth="1"/>
    <col min="8711" max="8711" width="13.42578125" style="42" bestFit="1" customWidth="1"/>
    <col min="8712" max="8712" width="7.85546875" style="42" bestFit="1" customWidth="1"/>
    <col min="8713" max="8713" width="30.5703125" style="42" customWidth="1"/>
    <col min="8714" max="8714" width="39.42578125" style="42" bestFit="1" customWidth="1"/>
    <col min="8715" max="8715" width="50.5703125" style="42" customWidth="1"/>
    <col min="8716" max="8716" width="13.85546875" style="42" bestFit="1" customWidth="1"/>
    <col min="8717" max="8717" width="7.5703125" style="42" bestFit="1" customWidth="1"/>
    <col min="8718" max="8718" width="13.42578125" style="42" bestFit="1" customWidth="1"/>
    <col min="8719" max="8962" width="9.140625" style="42"/>
    <col min="8963" max="8963" width="5.42578125" style="42" bestFit="1" customWidth="1"/>
    <col min="8964" max="8964" width="32.85546875" style="42" bestFit="1" customWidth="1"/>
    <col min="8965" max="8965" width="29.42578125" style="42" bestFit="1" customWidth="1"/>
    <col min="8966" max="8966" width="31.42578125" style="42" customWidth="1"/>
    <col min="8967" max="8967" width="13.42578125" style="42" bestFit="1" customWidth="1"/>
    <col min="8968" max="8968" width="7.85546875" style="42" bestFit="1" customWidth="1"/>
    <col min="8969" max="8969" width="30.5703125" style="42" customWidth="1"/>
    <col min="8970" max="8970" width="39.42578125" style="42" bestFit="1" customWidth="1"/>
    <col min="8971" max="8971" width="50.5703125" style="42" customWidth="1"/>
    <col min="8972" max="8972" width="13.85546875" style="42" bestFit="1" customWidth="1"/>
    <col min="8973" max="8973" width="7.5703125" style="42" bestFit="1" customWidth="1"/>
    <col min="8974" max="8974" width="13.42578125" style="42" bestFit="1" customWidth="1"/>
    <col min="8975" max="9218" width="9.140625" style="42"/>
    <col min="9219" max="9219" width="5.42578125" style="42" bestFit="1" customWidth="1"/>
    <col min="9220" max="9220" width="32.85546875" style="42" bestFit="1" customWidth="1"/>
    <col min="9221" max="9221" width="29.42578125" style="42" bestFit="1" customWidth="1"/>
    <col min="9222" max="9222" width="31.42578125" style="42" customWidth="1"/>
    <col min="9223" max="9223" width="13.42578125" style="42" bestFit="1" customWidth="1"/>
    <col min="9224" max="9224" width="7.85546875" style="42" bestFit="1" customWidth="1"/>
    <col min="9225" max="9225" width="30.5703125" style="42" customWidth="1"/>
    <col min="9226" max="9226" width="39.42578125" style="42" bestFit="1" customWidth="1"/>
    <col min="9227" max="9227" width="50.5703125" style="42" customWidth="1"/>
    <col min="9228" max="9228" width="13.85546875" style="42" bestFit="1" customWidth="1"/>
    <col min="9229" max="9229" width="7.5703125" style="42" bestFit="1" customWidth="1"/>
    <col min="9230" max="9230" width="13.42578125" style="42" bestFit="1" customWidth="1"/>
    <col min="9231" max="9474" width="9.140625" style="42"/>
    <col min="9475" max="9475" width="5.42578125" style="42" bestFit="1" customWidth="1"/>
    <col min="9476" max="9476" width="32.85546875" style="42" bestFit="1" customWidth="1"/>
    <col min="9477" max="9477" width="29.42578125" style="42" bestFit="1" customWidth="1"/>
    <col min="9478" max="9478" width="31.42578125" style="42" customWidth="1"/>
    <col min="9479" max="9479" width="13.42578125" style="42" bestFit="1" customWidth="1"/>
    <col min="9480" max="9480" width="7.85546875" style="42" bestFit="1" customWidth="1"/>
    <col min="9481" max="9481" width="30.5703125" style="42" customWidth="1"/>
    <col min="9482" max="9482" width="39.42578125" style="42" bestFit="1" customWidth="1"/>
    <col min="9483" max="9483" width="50.5703125" style="42" customWidth="1"/>
    <col min="9484" max="9484" width="13.85546875" style="42" bestFit="1" customWidth="1"/>
    <col min="9485" max="9485" width="7.5703125" style="42" bestFit="1" customWidth="1"/>
    <col min="9486" max="9486" width="13.42578125" style="42" bestFit="1" customWidth="1"/>
    <col min="9487" max="9730" width="9.140625" style="42"/>
    <col min="9731" max="9731" width="5.42578125" style="42" bestFit="1" customWidth="1"/>
    <col min="9732" max="9732" width="32.85546875" style="42" bestFit="1" customWidth="1"/>
    <col min="9733" max="9733" width="29.42578125" style="42" bestFit="1" customWidth="1"/>
    <col min="9734" max="9734" width="31.42578125" style="42" customWidth="1"/>
    <col min="9735" max="9735" width="13.42578125" style="42" bestFit="1" customWidth="1"/>
    <col min="9736" max="9736" width="7.85546875" style="42" bestFit="1" customWidth="1"/>
    <col min="9737" max="9737" width="30.5703125" style="42" customWidth="1"/>
    <col min="9738" max="9738" width="39.42578125" style="42" bestFit="1" customWidth="1"/>
    <col min="9739" max="9739" width="50.5703125" style="42" customWidth="1"/>
    <col min="9740" max="9740" width="13.85546875" style="42" bestFit="1" customWidth="1"/>
    <col min="9741" max="9741" width="7.5703125" style="42" bestFit="1" customWidth="1"/>
    <col min="9742" max="9742" width="13.42578125" style="42" bestFit="1" customWidth="1"/>
    <col min="9743" max="9986" width="9.140625" style="42"/>
    <col min="9987" max="9987" width="5.42578125" style="42" bestFit="1" customWidth="1"/>
    <col min="9988" max="9988" width="32.85546875" style="42" bestFit="1" customWidth="1"/>
    <col min="9989" max="9989" width="29.42578125" style="42" bestFit="1" customWidth="1"/>
    <col min="9990" max="9990" width="31.42578125" style="42" customWidth="1"/>
    <col min="9991" max="9991" width="13.42578125" style="42" bestFit="1" customWidth="1"/>
    <col min="9992" max="9992" width="7.85546875" style="42" bestFit="1" customWidth="1"/>
    <col min="9993" max="9993" width="30.5703125" style="42" customWidth="1"/>
    <col min="9994" max="9994" width="39.42578125" style="42" bestFit="1" customWidth="1"/>
    <col min="9995" max="9995" width="50.5703125" style="42" customWidth="1"/>
    <col min="9996" max="9996" width="13.85546875" style="42" bestFit="1" customWidth="1"/>
    <col min="9997" max="9997" width="7.5703125" style="42" bestFit="1" customWidth="1"/>
    <col min="9998" max="9998" width="13.42578125" style="42" bestFit="1" customWidth="1"/>
    <col min="9999" max="10242" width="9.140625" style="42"/>
    <col min="10243" max="10243" width="5.42578125" style="42" bestFit="1" customWidth="1"/>
    <col min="10244" max="10244" width="32.85546875" style="42" bestFit="1" customWidth="1"/>
    <col min="10245" max="10245" width="29.42578125" style="42" bestFit="1" customWidth="1"/>
    <col min="10246" max="10246" width="31.42578125" style="42" customWidth="1"/>
    <col min="10247" max="10247" width="13.42578125" style="42" bestFit="1" customWidth="1"/>
    <col min="10248" max="10248" width="7.85546875" style="42" bestFit="1" customWidth="1"/>
    <col min="10249" max="10249" width="30.5703125" style="42" customWidth="1"/>
    <col min="10250" max="10250" width="39.42578125" style="42" bestFit="1" customWidth="1"/>
    <col min="10251" max="10251" width="50.5703125" style="42" customWidth="1"/>
    <col min="10252" max="10252" width="13.85546875" style="42" bestFit="1" customWidth="1"/>
    <col min="10253" max="10253" width="7.5703125" style="42" bestFit="1" customWidth="1"/>
    <col min="10254" max="10254" width="13.42578125" style="42" bestFit="1" customWidth="1"/>
    <col min="10255" max="10498" width="9.140625" style="42"/>
    <col min="10499" max="10499" width="5.42578125" style="42" bestFit="1" customWidth="1"/>
    <col min="10500" max="10500" width="32.85546875" style="42" bestFit="1" customWidth="1"/>
    <col min="10501" max="10501" width="29.42578125" style="42" bestFit="1" customWidth="1"/>
    <col min="10502" max="10502" width="31.42578125" style="42" customWidth="1"/>
    <col min="10503" max="10503" width="13.42578125" style="42" bestFit="1" customWidth="1"/>
    <col min="10504" max="10504" width="7.85546875" style="42" bestFit="1" customWidth="1"/>
    <col min="10505" max="10505" width="30.5703125" style="42" customWidth="1"/>
    <col min="10506" max="10506" width="39.42578125" style="42" bestFit="1" customWidth="1"/>
    <col min="10507" max="10507" width="50.5703125" style="42" customWidth="1"/>
    <col min="10508" max="10508" width="13.85546875" style="42" bestFit="1" customWidth="1"/>
    <col min="10509" max="10509" width="7.5703125" style="42" bestFit="1" customWidth="1"/>
    <col min="10510" max="10510" width="13.42578125" style="42" bestFit="1" customWidth="1"/>
    <col min="10511" max="10754" width="9.140625" style="42"/>
    <col min="10755" max="10755" width="5.42578125" style="42" bestFit="1" customWidth="1"/>
    <col min="10756" max="10756" width="32.85546875" style="42" bestFit="1" customWidth="1"/>
    <col min="10757" max="10757" width="29.42578125" style="42" bestFit="1" customWidth="1"/>
    <col min="10758" max="10758" width="31.42578125" style="42" customWidth="1"/>
    <col min="10759" max="10759" width="13.42578125" style="42" bestFit="1" customWidth="1"/>
    <col min="10760" max="10760" width="7.85546875" style="42" bestFit="1" customWidth="1"/>
    <col min="10761" max="10761" width="30.5703125" style="42" customWidth="1"/>
    <col min="10762" max="10762" width="39.42578125" style="42" bestFit="1" customWidth="1"/>
    <col min="10763" max="10763" width="50.5703125" style="42" customWidth="1"/>
    <col min="10764" max="10764" width="13.85546875" style="42" bestFit="1" customWidth="1"/>
    <col min="10765" max="10765" width="7.5703125" style="42" bestFit="1" customWidth="1"/>
    <col min="10766" max="10766" width="13.42578125" style="42" bestFit="1" customWidth="1"/>
    <col min="10767" max="11010" width="9.140625" style="42"/>
    <col min="11011" max="11011" width="5.42578125" style="42" bestFit="1" customWidth="1"/>
    <col min="11012" max="11012" width="32.85546875" style="42" bestFit="1" customWidth="1"/>
    <col min="11013" max="11013" width="29.42578125" style="42" bestFit="1" customWidth="1"/>
    <col min="11014" max="11014" width="31.42578125" style="42" customWidth="1"/>
    <col min="11015" max="11015" width="13.42578125" style="42" bestFit="1" customWidth="1"/>
    <col min="11016" max="11016" width="7.85546875" style="42" bestFit="1" customWidth="1"/>
    <col min="11017" max="11017" width="30.5703125" style="42" customWidth="1"/>
    <col min="11018" max="11018" width="39.42578125" style="42" bestFit="1" customWidth="1"/>
    <col min="11019" max="11019" width="50.5703125" style="42" customWidth="1"/>
    <col min="11020" max="11020" width="13.85546875" style="42" bestFit="1" customWidth="1"/>
    <col min="11021" max="11021" width="7.5703125" style="42" bestFit="1" customWidth="1"/>
    <col min="11022" max="11022" width="13.42578125" style="42" bestFit="1" customWidth="1"/>
    <col min="11023" max="11266" width="9.140625" style="42"/>
    <col min="11267" max="11267" width="5.42578125" style="42" bestFit="1" customWidth="1"/>
    <col min="11268" max="11268" width="32.85546875" style="42" bestFit="1" customWidth="1"/>
    <col min="11269" max="11269" width="29.42578125" style="42" bestFit="1" customWidth="1"/>
    <col min="11270" max="11270" width="31.42578125" style="42" customWidth="1"/>
    <col min="11271" max="11271" width="13.42578125" style="42" bestFit="1" customWidth="1"/>
    <col min="11272" max="11272" width="7.85546875" style="42" bestFit="1" customWidth="1"/>
    <col min="11273" max="11273" width="30.5703125" style="42" customWidth="1"/>
    <col min="11274" max="11274" width="39.42578125" style="42" bestFit="1" customWidth="1"/>
    <col min="11275" max="11275" width="50.5703125" style="42" customWidth="1"/>
    <col min="11276" max="11276" width="13.85546875" style="42" bestFit="1" customWidth="1"/>
    <col min="11277" max="11277" width="7.5703125" style="42" bestFit="1" customWidth="1"/>
    <col min="11278" max="11278" width="13.42578125" style="42" bestFit="1" customWidth="1"/>
    <col min="11279" max="11522" width="9.140625" style="42"/>
    <col min="11523" max="11523" width="5.42578125" style="42" bestFit="1" customWidth="1"/>
    <col min="11524" max="11524" width="32.85546875" style="42" bestFit="1" customWidth="1"/>
    <col min="11525" max="11525" width="29.42578125" style="42" bestFit="1" customWidth="1"/>
    <col min="11526" max="11526" width="31.42578125" style="42" customWidth="1"/>
    <col min="11527" max="11527" width="13.42578125" style="42" bestFit="1" customWidth="1"/>
    <col min="11528" max="11528" width="7.85546875" style="42" bestFit="1" customWidth="1"/>
    <col min="11529" max="11529" width="30.5703125" style="42" customWidth="1"/>
    <col min="11530" max="11530" width="39.42578125" style="42" bestFit="1" customWidth="1"/>
    <col min="11531" max="11531" width="50.5703125" style="42" customWidth="1"/>
    <col min="11532" max="11532" width="13.85546875" style="42" bestFit="1" customWidth="1"/>
    <col min="11533" max="11533" width="7.5703125" style="42" bestFit="1" customWidth="1"/>
    <col min="11534" max="11534" width="13.42578125" style="42" bestFit="1" customWidth="1"/>
    <col min="11535" max="11778" width="9.140625" style="42"/>
    <col min="11779" max="11779" width="5.42578125" style="42" bestFit="1" customWidth="1"/>
    <col min="11780" max="11780" width="32.85546875" style="42" bestFit="1" customWidth="1"/>
    <col min="11781" max="11781" width="29.42578125" style="42" bestFit="1" customWidth="1"/>
    <col min="11782" max="11782" width="31.42578125" style="42" customWidth="1"/>
    <col min="11783" max="11783" width="13.42578125" style="42" bestFit="1" customWidth="1"/>
    <col min="11784" max="11784" width="7.85546875" style="42" bestFit="1" customWidth="1"/>
    <col min="11785" max="11785" width="30.5703125" style="42" customWidth="1"/>
    <col min="11786" max="11786" width="39.42578125" style="42" bestFit="1" customWidth="1"/>
    <col min="11787" max="11787" width="50.5703125" style="42" customWidth="1"/>
    <col min="11788" max="11788" width="13.85546875" style="42" bestFit="1" customWidth="1"/>
    <col min="11789" max="11789" width="7.5703125" style="42" bestFit="1" customWidth="1"/>
    <col min="11790" max="11790" width="13.42578125" style="42" bestFit="1" customWidth="1"/>
    <col min="11791" max="12034" width="9.140625" style="42"/>
    <col min="12035" max="12035" width="5.42578125" style="42" bestFit="1" customWidth="1"/>
    <col min="12036" max="12036" width="32.85546875" style="42" bestFit="1" customWidth="1"/>
    <col min="12037" max="12037" width="29.42578125" style="42" bestFit="1" customWidth="1"/>
    <col min="12038" max="12038" width="31.42578125" style="42" customWidth="1"/>
    <col min="12039" max="12039" width="13.42578125" style="42" bestFit="1" customWidth="1"/>
    <col min="12040" max="12040" width="7.85546875" style="42" bestFit="1" customWidth="1"/>
    <col min="12041" max="12041" width="30.5703125" style="42" customWidth="1"/>
    <col min="12042" max="12042" width="39.42578125" style="42" bestFit="1" customWidth="1"/>
    <col min="12043" max="12043" width="50.5703125" style="42" customWidth="1"/>
    <col min="12044" max="12044" width="13.85546875" style="42" bestFit="1" customWidth="1"/>
    <col min="12045" max="12045" width="7.5703125" style="42" bestFit="1" customWidth="1"/>
    <col min="12046" max="12046" width="13.42578125" style="42" bestFit="1" customWidth="1"/>
    <col min="12047" max="12290" width="9.140625" style="42"/>
    <col min="12291" max="12291" width="5.42578125" style="42" bestFit="1" customWidth="1"/>
    <col min="12292" max="12292" width="32.85546875" style="42" bestFit="1" customWidth="1"/>
    <col min="12293" max="12293" width="29.42578125" style="42" bestFit="1" customWidth="1"/>
    <col min="12294" max="12294" width="31.42578125" style="42" customWidth="1"/>
    <col min="12295" max="12295" width="13.42578125" style="42" bestFit="1" customWidth="1"/>
    <col min="12296" max="12296" width="7.85546875" style="42" bestFit="1" customWidth="1"/>
    <col min="12297" max="12297" width="30.5703125" style="42" customWidth="1"/>
    <col min="12298" max="12298" width="39.42578125" style="42" bestFit="1" customWidth="1"/>
    <col min="12299" max="12299" width="50.5703125" style="42" customWidth="1"/>
    <col min="12300" max="12300" width="13.85546875" style="42" bestFit="1" customWidth="1"/>
    <col min="12301" max="12301" width="7.5703125" style="42" bestFit="1" customWidth="1"/>
    <col min="12302" max="12302" width="13.42578125" style="42" bestFit="1" customWidth="1"/>
    <col min="12303" max="12546" width="9.140625" style="42"/>
    <col min="12547" max="12547" width="5.42578125" style="42" bestFit="1" customWidth="1"/>
    <col min="12548" max="12548" width="32.85546875" style="42" bestFit="1" customWidth="1"/>
    <col min="12549" max="12549" width="29.42578125" style="42" bestFit="1" customWidth="1"/>
    <col min="12550" max="12550" width="31.42578125" style="42" customWidth="1"/>
    <col min="12551" max="12551" width="13.42578125" style="42" bestFit="1" customWidth="1"/>
    <col min="12552" max="12552" width="7.85546875" style="42" bestFit="1" customWidth="1"/>
    <col min="12553" max="12553" width="30.5703125" style="42" customWidth="1"/>
    <col min="12554" max="12554" width="39.42578125" style="42" bestFit="1" customWidth="1"/>
    <col min="12555" max="12555" width="50.5703125" style="42" customWidth="1"/>
    <col min="12556" max="12556" width="13.85546875" style="42" bestFit="1" customWidth="1"/>
    <col min="12557" max="12557" width="7.5703125" style="42" bestFit="1" customWidth="1"/>
    <col min="12558" max="12558" width="13.42578125" style="42" bestFit="1" customWidth="1"/>
    <col min="12559" max="12802" width="9.140625" style="42"/>
    <col min="12803" max="12803" width="5.42578125" style="42" bestFit="1" customWidth="1"/>
    <col min="12804" max="12804" width="32.85546875" style="42" bestFit="1" customWidth="1"/>
    <col min="12805" max="12805" width="29.42578125" style="42" bestFit="1" customWidth="1"/>
    <col min="12806" max="12806" width="31.42578125" style="42" customWidth="1"/>
    <col min="12807" max="12807" width="13.42578125" style="42" bestFit="1" customWidth="1"/>
    <col min="12808" max="12808" width="7.85546875" style="42" bestFit="1" customWidth="1"/>
    <col min="12809" max="12809" width="30.5703125" style="42" customWidth="1"/>
    <col min="12810" max="12810" width="39.42578125" style="42" bestFit="1" customWidth="1"/>
    <col min="12811" max="12811" width="50.5703125" style="42" customWidth="1"/>
    <col min="12812" max="12812" width="13.85546875" style="42" bestFit="1" customWidth="1"/>
    <col min="12813" max="12813" width="7.5703125" style="42" bestFit="1" customWidth="1"/>
    <col min="12814" max="12814" width="13.42578125" style="42" bestFit="1" customWidth="1"/>
    <col min="12815" max="13058" width="9.140625" style="42"/>
    <col min="13059" max="13059" width="5.42578125" style="42" bestFit="1" customWidth="1"/>
    <col min="13060" max="13060" width="32.85546875" style="42" bestFit="1" customWidth="1"/>
    <col min="13061" max="13061" width="29.42578125" style="42" bestFit="1" customWidth="1"/>
    <col min="13062" max="13062" width="31.42578125" style="42" customWidth="1"/>
    <col min="13063" max="13063" width="13.42578125" style="42" bestFit="1" customWidth="1"/>
    <col min="13064" max="13064" width="7.85546875" style="42" bestFit="1" customWidth="1"/>
    <col min="13065" max="13065" width="30.5703125" style="42" customWidth="1"/>
    <col min="13066" max="13066" width="39.42578125" style="42" bestFit="1" customWidth="1"/>
    <col min="13067" max="13067" width="50.5703125" style="42" customWidth="1"/>
    <col min="13068" max="13068" width="13.85546875" style="42" bestFit="1" customWidth="1"/>
    <col min="13069" max="13069" width="7.5703125" style="42" bestFit="1" customWidth="1"/>
    <col min="13070" max="13070" width="13.42578125" style="42" bestFit="1" customWidth="1"/>
    <col min="13071" max="13314" width="9.140625" style="42"/>
    <col min="13315" max="13315" width="5.42578125" style="42" bestFit="1" customWidth="1"/>
    <col min="13316" max="13316" width="32.85546875" style="42" bestFit="1" customWidth="1"/>
    <col min="13317" max="13317" width="29.42578125" style="42" bestFit="1" customWidth="1"/>
    <col min="13318" max="13318" width="31.42578125" style="42" customWidth="1"/>
    <col min="13319" max="13319" width="13.42578125" style="42" bestFit="1" customWidth="1"/>
    <col min="13320" max="13320" width="7.85546875" style="42" bestFit="1" customWidth="1"/>
    <col min="13321" max="13321" width="30.5703125" style="42" customWidth="1"/>
    <col min="13322" max="13322" width="39.42578125" style="42" bestFit="1" customWidth="1"/>
    <col min="13323" max="13323" width="50.5703125" style="42" customWidth="1"/>
    <col min="13324" max="13324" width="13.85546875" style="42" bestFit="1" customWidth="1"/>
    <col min="13325" max="13325" width="7.5703125" style="42" bestFit="1" customWidth="1"/>
    <col min="13326" max="13326" width="13.42578125" style="42" bestFit="1" customWidth="1"/>
    <col min="13327" max="13570" width="9.140625" style="42"/>
    <col min="13571" max="13571" width="5.42578125" style="42" bestFit="1" customWidth="1"/>
    <col min="13572" max="13572" width="32.85546875" style="42" bestFit="1" customWidth="1"/>
    <col min="13573" max="13573" width="29.42578125" style="42" bestFit="1" customWidth="1"/>
    <col min="13574" max="13574" width="31.42578125" style="42" customWidth="1"/>
    <col min="13575" max="13575" width="13.42578125" style="42" bestFit="1" customWidth="1"/>
    <col min="13576" max="13576" width="7.85546875" style="42" bestFit="1" customWidth="1"/>
    <col min="13577" max="13577" width="30.5703125" style="42" customWidth="1"/>
    <col min="13578" max="13578" width="39.42578125" style="42" bestFit="1" customWidth="1"/>
    <col min="13579" max="13579" width="50.5703125" style="42" customWidth="1"/>
    <col min="13580" max="13580" width="13.85546875" style="42" bestFit="1" customWidth="1"/>
    <col min="13581" max="13581" width="7.5703125" style="42" bestFit="1" customWidth="1"/>
    <col min="13582" max="13582" width="13.42578125" style="42" bestFit="1" customWidth="1"/>
    <col min="13583" max="13826" width="9.140625" style="42"/>
    <col min="13827" max="13827" width="5.42578125" style="42" bestFit="1" customWidth="1"/>
    <col min="13828" max="13828" width="32.85546875" style="42" bestFit="1" customWidth="1"/>
    <col min="13829" max="13829" width="29.42578125" style="42" bestFit="1" customWidth="1"/>
    <col min="13830" max="13830" width="31.42578125" style="42" customWidth="1"/>
    <col min="13831" max="13831" width="13.42578125" style="42" bestFit="1" customWidth="1"/>
    <col min="13832" max="13832" width="7.85546875" style="42" bestFit="1" customWidth="1"/>
    <col min="13833" max="13833" width="30.5703125" style="42" customWidth="1"/>
    <col min="13834" max="13834" width="39.42578125" style="42" bestFit="1" customWidth="1"/>
    <col min="13835" max="13835" width="50.5703125" style="42" customWidth="1"/>
    <col min="13836" max="13836" width="13.85546875" style="42" bestFit="1" customWidth="1"/>
    <col min="13837" max="13837" width="7.5703125" style="42" bestFit="1" customWidth="1"/>
    <col min="13838" max="13838" width="13.42578125" style="42" bestFit="1" customWidth="1"/>
    <col min="13839" max="14082" width="9.140625" style="42"/>
    <col min="14083" max="14083" width="5.42578125" style="42" bestFit="1" customWidth="1"/>
    <col min="14084" max="14084" width="32.85546875" style="42" bestFit="1" customWidth="1"/>
    <col min="14085" max="14085" width="29.42578125" style="42" bestFit="1" customWidth="1"/>
    <col min="14086" max="14086" width="31.42578125" style="42" customWidth="1"/>
    <col min="14087" max="14087" width="13.42578125" style="42" bestFit="1" customWidth="1"/>
    <col min="14088" max="14088" width="7.85546875" style="42" bestFit="1" customWidth="1"/>
    <col min="14089" max="14089" width="30.5703125" style="42" customWidth="1"/>
    <col min="14090" max="14090" width="39.42578125" style="42" bestFit="1" customWidth="1"/>
    <col min="14091" max="14091" width="50.5703125" style="42" customWidth="1"/>
    <col min="14092" max="14092" width="13.85546875" style="42" bestFit="1" customWidth="1"/>
    <col min="14093" max="14093" width="7.5703125" style="42" bestFit="1" customWidth="1"/>
    <col min="14094" max="14094" width="13.42578125" style="42" bestFit="1" customWidth="1"/>
    <col min="14095" max="14338" width="9.140625" style="42"/>
    <col min="14339" max="14339" width="5.42578125" style="42" bestFit="1" customWidth="1"/>
    <col min="14340" max="14340" width="32.85546875" style="42" bestFit="1" customWidth="1"/>
    <col min="14341" max="14341" width="29.42578125" style="42" bestFit="1" customWidth="1"/>
    <col min="14342" max="14342" width="31.42578125" style="42" customWidth="1"/>
    <col min="14343" max="14343" width="13.42578125" style="42" bestFit="1" customWidth="1"/>
    <col min="14344" max="14344" width="7.85546875" style="42" bestFit="1" customWidth="1"/>
    <col min="14345" max="14345" width="30.5703125" style="42" customWidth="1"/>
    <col min="14346" max="14346" width="39.42578125" style="42" bestFit="1" customWidth="1"/>
    <col min="14347" max="14347" width="50.5703125" style="42" customWidth="1"/>
    <col min="14348" max="14348" width="13.85546875" style="42" bestFit="1" customWidth="1"/>
    <col min="14349" max="14349" width="7.5703125" style="42" bestFit="1" customWidth="1"/>
    <col min="14350" max="14350" width="13.42578125" style="42" bestFit="1" customWidth="1"/>
    <col min="14351" max="14594" width="9.140625" style="42"/>
    <col min="14595" max="14595" width="5.42578125" style="42" bestFit="1" customWidth="1"/>
    <col min="14596" max="14596" width="32.85546875" style="42" bestFit="1" customWidth="1"/>
    <col min="14597" max="14597" width="29.42578125" style="42" bestFit="1" customWidth="1"/>
    <col min="14598" max="14598" width="31.42578125" style="42" customWidth="1"/>
    <col min="14599" max="14599" width="13.42578125" style="42" bestFit="1" customWidth="1"/>
    <col min="14600" max="14600" width="7.85546875" style="42" bestFit="1" customWidth="1"/>
    <col min="14601" max="14601" width="30.5703125" style="42" customWidth="1"/>
    <col min="14602" max="14602" width="39.42578125" style="42" bestFit="1" customWidth="1"/>
    <col min="14603" max="14603" width="50.5703125" style="42" customWidth="1"/>
    <col min="14604" max="14604" width="13.85546875" style="42" bestFit="1" customWidth="1"/>
    <col min="14605" max="14605" width="7.5703125" style="42" bestFit="1" customWidth="1"/>
    <col min="14606" max="14606" width="13.42578125" style="42" bestFit="1" customWidth="1"/>
    <col min="14607" max="14850" width="9.140625" style="42"/>
    <col min="14851" max="14851" width="5.42578125" style="42" bestFit="1" customWidth="1"/>
    <col min="14852" max="14852" width="32.85546875" style="42" bestFit="1" customWidth="1"/>
    <col min="14853" max="14853" width="29.42578125" style="42" bestFit="1" customWidth="1"/>
    <col min="14854" max="14854" width="31.42578125" style="42" customWidth="1"/>
    <col min="14855" max="14855" width="13.42578125" style="42" bestFit="1" customWidth="1"/>
    <col min="14856" max="14856" width="7.85546875" style="42" bestFit="1" customWidth="1"/>
    <col min="14857" max="14857" width="30.5703125" style="42" customWidth="1"/>
    <col min="14858" max="14858" width="39.42578125" style="42" bestFit="1" customWidth="1"/>
    <col min="14859" max="14859" width="50.5703125" style="42" customWidth="1"/>
    <col min="14860" max="14860" width="13.85546875" style="42" bestFit="1" customWidth="1"/>
    <col min="14861" max="14861" width="7.5703125" style="42" bestFit="1" customWidth="1"/>
    <col min="14862" max="14862" width="13.42578125" style="42" bestFit="1" customWidth="1"/>
    <col min="14863" max="15106" width="9.140625" style="42"/>
    <col min="15107" max="15107" width="5.42578125" style="42" bestFit="1" customWidth="1"/>
    <col min="15108" max="15108" width="32.85546875" style="42" bestFit="1" customWidth="1"/>
    <col min="15109" max="15109" width="29.42578125" style="42" bestFit="1" customWidth="1"/>
    <col min="15110" max="15110" width="31.42578125" style="42" customWidth="1"/>
    <col min="15111" max="15111" width="13.42578125" style="42" bestFit="1" customWidth="1"/>
    <col min="15112" max="15112" width="7.85546875" style="42" bestFit="1" customWidth="1"/>
    <col min="15113" max="15113" width="30.5703125" style="42" customWidth="1"/>
    <col min="15114" max="15114" width="39.42578125" style="42" bestFit="1" customWidth="1"/>
    <col min="15115" max="15115" width="50.5703125" style="42" customWidth="1"/>
    <col min="15116" max="15116" width="13.85546875" style="42" bestFit="1" customWidth="1"/>
    <col min="15117" max="15117" width="7.5703125" style="42" bestFit="1" customWidth="1"/>
    <col min="15118" max="15118" width="13.42578125" style="42" bestFit="1" customWidth="1"/>
    <col min="15119" max="15362" width="9.140625" style="42"/>
    <col min="15363" max="15363" width="5.42578125" style="42" bestFit="1" customWidth="1"/>
    <col min="15364" max="15364" width="32.85546875" style="42" bestFit="1" customWidth="1"/>
    <col min="15365" max="15365" width="29.42578125" style="42" bestFit="1" customWidth="1"/>
    <col min="15366" max="15366" width="31.42578125" style="42" customWidth="1"/>
    <col min="15367" max="15367" width="13.42578125" style="42" bestFit="1" customWidth="1"/>
    <col min="15368" max="15368" width="7.85546875" style="42" bestFit="1" customWidth="1"/>
    <col min="15369" max="15369" width="30.5703125" style="42" customWidth="1"/>
    <col min="15370" max="15370" width="39.42578125" style="42" bestFit="1" customWidth="1"/>
    <col min="15371" max="15371" width="50.5703125" style="42" customWidth="1"/>
    <col min="15372" max="15372" width="13.85546875" style="42" bestFit="1" customWidth="1"/>
    <col min="15373" max="15373" width="7.5703125" style="42" bestFit="1" customWidth="1"/>
    <col min="15374" max="15374" width="13.42578125" style="42" bestFit="1" customWidth="1"/>
    <col min="15375" max="15618" width="9.140625" style="42"/>
    <col min="15619" max="15619" width="5.42578125" style="42" bestFit="1" customWidth="1"/>
    <col min="15620" max="15620" width="32.85546875" style="42" bestFit="1" customWidth="1"/>
    <col min="15621" max="15621" width="29.42578125" style="42" bestFit="1" customWidth="1"/>
    <col min="15622" max="15622" width="31.42578125" style="42" customWidth="1"/>
    <col min="15623" max="15623" width="13.42578125" style="42" bestFit="1" customWidth="1"/>
    <col min="15624" max="15624" width="7.85546875" style="42" bestFit="1" customWidth="1"/>
    <col min="15625" max="15625" width="30.5703125" style="42" customWidth="1"/>
    <col min="15626" max="15626" width="39.42578125" style="42" bestFit="1" customWidth="1"/>
    <col min="15627" max="15627" width="50.5703125" style="42" customWidth="1"/>
    <col min="15628" max="15628" width="13.85546875" style="42" bestFit="1" customWidth="1"/>
    <col min="15629" max="15629" width="7.5703125" style="42" bestFit="1" customWidth="1"/>
    <col min="15630" max="15630" width="13.42578125" style="42" bestFit="1" customWidth="1"/>
    <col min="15631" max="15874" width="9.140625" style="42"/>
    <col min="15875" max="15875" width="5.42578125" style="42" bestFit="1" customWidth="1"/>
    <col min="15876" max="15876" width="32.85546875" style="42" bestFit="1" customWidth="1"/>
    <col min="15877" max="15877" width="29.42578125" style="42" bestFit="1" customWidth="1"/>
    <col min="15878" max="15878" width="31.42578125" style="42" customWidth="1"/>
    <col min="15879" max="15879" width="13.42578125" style="42" bestFit="1" customWidth="1"/>
    <col min="15880" max="15880" width="7.85546875" style="42" bestFit="1" customWidth="1"/>
    <col min="15881" max="15881" width="30.5703125" style="42" customWidth="1"/>
    <col min="15882" max="15882" width="39.42578125" style="42" bestFit="1" customWidth="1"/>
    <col min="15883" max="15883" width="50.5703125" style="42" customWidth="1"/>
    <col min="15884" max="15884" width="13.85546875" style="42" bestFit="1" customWidth="1"/>
    <col min="15885" max="15885" width="7.5703125" style="42" bestFit="1" customWidth="1"/>
    <col min="15886" max="15886" width="13.42578125" style="42" bestFit="1" customWidth="1"/>
    <col min="15887" max="16130" width="9.140625" style="42"/>
    <col min="16131" max="16131" width="5.42578125" style="42" bestFit="1" customWidth="1"/>
    <col min="16132" max="16132" width="32.85546875" style="42" bestFit="1" customWidth="1"/>
    <col min="16133" max="16133" width="29.42578125" style="42" bestFit="1" customWidth="1"/>
    <col min="16134" max="16134" width="31.42578125" style="42" customWidth="1"/>
    <col min="16135" max="16135" width="13.42578125" style="42" bestFit="1" customWidth="1"/>
    <col min="16136" max="16136" width="7.85546875" style="42" bestFit="1" customWidth="1"/>
    <col min="16137" max="16137" width="30.5703125" style="42" customWidth="1"/>
    <col min="16138" max="16138" width="39.42578125" style="42" bestFit="1" customWidth="1"/>
    <col min="16139" max="16139" width="50.5703125" style="42" customWidth="1"/>
    <col min="16140" max="16140" width="13.85546875" style="42" bestFit="1" customWidth="1"/>
    <col min="16141" max="16141" width="7.5703125" style="42" bestFit="1" customWidth="1"/>
    <col min="16142" max="16142" width="13.42578125" style="42" bestFit="1" customWidth="1"/>
    <col min="16143" max="16384" width="9.140625" style="42"/>
  </cols>
  <sheetData>
    <row r="1" spans="1:14">
      <c r="A1" s="94" t="s">
        <v>597</v>
      </c>
      <c r="B1" s="94"/>
      <c r="C1" s="94"/>
      <c r="D1" s="94"/>
      <c r="E1" s="94"/>
      <c r="F1" s="94"/>
      <c r="G1" s="94"/>
      <c r="K1" s="42"/>
    </row>
    <row r="3" spans="1:14" ht="21">
      <c r="A3" s="45" t="s">
        <v>10</v>
      </c>
      <c r="B3" s="46" t="s">
        <v>598</v>
      </c>
      <c r="C3" s="45" t="s">
        <v>10</v>
      </c>
      <c r="D3" s="41" t="s">
        <v>599</v>
      </c>
      <c r="E3" s="45" t="s">
        <v>10</v>
      </c>
      <c r="F3" s="41" t="s">
        <v>600</v>
      </c>
      <c r="G3" s="47" t="s">
        <v>601</v>
      </c>
      <c r="H3" s="47" t="s">
        <v>602</v>
      </c>
      <c r="I3" s="47" t="s">
        <v>603</v>
      </c>
      <c r="J3" s="46" t="s">
        <v>604</v>
      </c>
      <c r="K3" s="41" t="s">
        <v>605</v>
      </c>
      <c r="L3" s="41" t="s">
        <v>606</v>
      </c>
      <c r="M3" s="48" t="s">
        <v>607</v>
      </c>
      <c r="N3" s="48" t="s">
        <v>608</v>
      </c>
    </row>
    <row r="4" spans="1:14" s="49" customFormat="1" ht="52.5">
      <c r="A4" s="73">
        <v>0</v>
      </c>
      <c r="B4" s="73" t="s">
        <v>18</v>
      </c>
      <c r="C4" s="73">
        <v>0</v>
      </c>
      <c r="D4" s="74" t="s">
        <v>19</v>
      </c>
      <c r="E4" s="73">
        <v>0</v>
      </c>
      <c r="F4" s="74" t="s">
        <v>609</v>
      </c>
      <c r="G4" s="73" t="s">
        <v>610</v>
      </c>
      <c r="H4" s="73" t="s">
        <v>20</v>
      </c>
      <c r="I4" s="73"/>
      <c r="J4" s="73" t="s">
        <v>611</v>
      </c>
      <c r="K4" s="74"/>
      <c r="L4" s="74" t="s">
        <v>612</v>
      </c>
      <c r="M4" s="73" t="s">
        <v>613</v>
      </c>
      <c r="N4" s="73" t="s">
        <v>614</v>
      </c>
    </row>
    <row r="5" spans="1:14" s="49" customFormat="1" ht="52.5">
      <c r="A5" s="73">
        <v>1</v>
      </c>
      <c r="B5" s="73" t="s">
        <v>22</v>
      </c>
      <c r="C5" s="73">
        <v>1</v>
      </c>
      <c r="D5" s="75" t="s">
        <v>23</v>
      </c>
      <c r="E5" s="73">
        <v>1</v>
      </c>
      <c r="F5" s="74" t="s">
        <v>615</v>
      </c>
      <c r="G5" s="73" t="s">
        <v>610</v>
      </c>
      <c r="H5" s="73" t="s">
        <v>20</v>
      </c>
      <c r="I5" s="73" t="s">
        <v>616</v>
      </c>
      <c r="J5" s="75" t="s">
        <v>617</v>
      </c>
      <c r="K5" s="76" t="s">
        <v>618</v>
      </c>
      <c r="L5" s="74" t="s">
        <v>612</v>
      </c>
      <c r="M5" s="73" t="s">
        <v>613</v>
      </c>
      <c r="N5" s="73" t="s">
        <v>614</v>
      </c>
    </row>
    <row r="6" spans="1:14" s="49" customFormat="1" ht="84">
      <c r="A6" s="73">
        <v>2</v>
      </c>
      <c r="B6" s="73" t="s">
        <v>25</v>
      </c>
      <c r="C6" s="73">
        <v>2</v>
      </c>
      <c r="D6" s="77" t="s">
        <v>26</v>
      </c>
      <c r="E6" s="73">
        <v>2</v>
      </c>
      <c r="F6" s="74" t="s">
        <v>619</v>
      </c>
      <c r="G6" s="73" t="s">
        <v>620</v>
      </c>
      <c r="H6" s="73" t="s">
        <v>27</v>
      </c>
      <c r="I6" s="73"/>
      <c r="J6" s="75" t="s">
        <v>621</v>
      </c>
      <c r="K6" s="76" t="s">
        <v>622</v>
      </c>
      <c r="L6" s="74" t="s">
        <v>612</v>
      </c>
      <c r="M6" s="73" t="s">
        <v>613</v>
      </c>
      <c r="N6" s="73" t="s">
        <v>623</v>
      </c>
    </row>
    <row r="7" spans="1:14" s="49" customFormat="1" ht="63">
      <c r="A7" s="73">
        <v>3</v>
      </c>
      <c r="B7" s="73" t="s">
        <v>624</v>
      </c>
      <c r="C7" s="73">
        <v>3</v>
      </c>
      <c r="D7" s="75" t="s">
        <v>625</v>
      </c>
      <c r="E7" s="73">
        <v>3</v>
      </c>
      <c r="F7" s="74" t="s">
        <v>626</v>
      </c>
      <c r="G7" s="73" t="s">
        <v>610</v>
      </c>
      <c r="H7" s="73" t="s">
        <v>27</v>
      </c>
      <c r="I7" s="73"/>
      <c r="J7" s="75" t="s">
        <v>627</v>
      </c>
      <c r="K7" s="75"/>
      <c r="L7" s="74" t="s">
        <v>612</v>
      </c>
      <c r="M7" s="73" t="s">
        <v>613</v>
      </c>
      <c r="N7" s="73" t="s">
        <v>614</v>
      </c>
    </row>
    <row r="8" spans="1:14" s="49" customFormat="1" ht="42">
      <c r="A8" s="73">
        <v>4</v>
      </c>
      <c r="B8" s="73" t="s">
        <v>628</v>
      </c>
      <c r="C8" s="73">
        <v>4</v>
      </c>
      <c r="D8" s="75" t="s">
        <v>629</v>
      </c>
      <c r="E8" s="73">
        <v>4</v>
      </c>
      <c r="F8" s="74" t="s">
        <v>630</v>
      </c>
      <c r="G8" s="73" t="s">
        <v>610</v>
      </c>
      <c r="H8" s="73" t="s">
        <v>27</v>
      </c>
      <c r="I8" s="73"/>
      <c r="J8" s="75" t="s">
        <v>631</v>
      </c>
      <c r="K8" s="75"/>
      <c r="L8" s="74" t="s">
        <v>612</v>
      </c>
      <c r="M8" s="73" t="s">
        <v>613</v>
      </c>
      <c r="N8" s="73" t="s">
        <v>614</v>
      </c>
    </row>
    <row r="9" spans="1:14" s="49" customFormat="1" ht="73.5">
      <c r="A9" s="73">
        <v>5</v>
      </c>
      <c r="B9" s="73" t="s">
        <v>29</v>
      </c>
      <c r="C9" s="73">
        <v>5</v>
      </c>
      <c r="D9" s="74" t="s">
        <v>30</v>
      </c>
      <c r="E9" s="73">
        <v>5</v>
      </c>
      <c r="F9" s="74" t="s">
        <v>632</v>
      </c>
      <c r="G9" s="78" t="s">
        <v>610</v>
      </c>
      <c r="H9" s="73" t="s">
        <v>27</v>
      </c>
      <c r="I9" s="73"/>
      <c r="J9" s="74" t="s">
        <v>633</v>
      </c>
      <c r="K9" s="74"/>
      <c r="L9" s="74" t="s">
        <v>612</v>
      </c>
      <c r="M9" s="73" t="s">
        <v>613</v>
      </c>
      <c r="N9" s="78" t="s">
        <v>623</v>
      </c>
    </row>
    <row r="10" spans="1:14" s="49" customFormat="1" ht="73.5">
      <c r="A10" s="73">
        <v>6</v>
      </c>
      <c r="B10" s="73" t="s">
        <v>32</v>
      </c>
      <c r="C10" s="73">
        <v>6</v>
      </c>
      <c r="D10" s="74" t="s">
        <v>33</v>
      </c>
      <c r="E10" s="73">
        <v>6</v>
      </c>
      <c r="F10" s="74" t="s">
        <v>634</v>
      </c>
      <c r="G10" s="78" t="s">
        <v>635</v>
      </c>
      <c r="H10" s="73" t="s">
        <v>27</v>
      </c>
      <c r="I10" s="73"/>
      <c r="J10" s="74" t="s">
        <v>636</v>
      </c>
      <c r="K10" s="74"/>
      <c r="L10" s="74" t="s">
        <v>612</v>
      </c>
      <c r="M10" s="73" t="s">
        <v>613</v>
      </c>
      <c r="N10" s="78" t="s">
        <v>637</v>
      </c>
    </row>
    <row r="11" spans="1:14" s="49" customFormat="1" ht="73.5">
      <c r="A11" s="73">
        <v>7</v>
      </c>
      <c r="B11" s="73" t="s">
        <v>35</v>
      </c>
      <c r="C11" s="73">
        <v>7</v>
      </c>
      <c r="D11" s="74" t="s">
        <v>36</v>
      </c>
      <c r="E11" s="73">
        <v>7</v>
      </c>
      <c r="F11" s="74" t="s">
        <v>638</v>
      </c>
      <c r="G11" s="78" t="s">
        <v>635</v>
      </c>
      <c r="H11" s="73" t="s">
        <v>27</v>
      </c>
      <c r="I11" s="73"/>
      <c r="J11" s="74" t="s">
        <v>639</v>
      </c>
      <c r="K11" s="74"/>
      <c r="L11" s="74" t="s">
        <v>612</v>
      </c>
      <c r="M11" s="73" t="s">
        <v>613</v>
      </c>
      <c r="N11" s="78" t="s">
        <v>637</v>
      </c>
    </row>
    <row r="12" spans="1:14" s="49" customFormat="1" ht="73.5">
      <c r="A12" s="73">
        <v>8</v>
      </c>
      <c r="B12" s="73" t="s">
        <v>38</v>
      </c>
      <c r="C12" s="73">
        <v>8</v>
      </c>
      <c r="D12" s="74" t="s">
        <v>39</v>
      </c>
      <c r="E12" s="73">
        <v>8</v>
      </c>
      <c r="F12" s="74" t="s">
        <v>640</v>
      </c>
      <c r="G12" s="78" t="s">
        <v>635</v>
      </c>
      <c r="H12" s="73" t="s">
        <v>27</v>
      </c>
      <c r="I12" s="73"/>
      <c r="J12" s="74" t="s">
        <v>641</v>
      </c>
      <c r="K12" s="74"/>
      <c r="L12" s="74" t="s">
        <v>612</v>
      </c>
      <c r="M12" s="73" t="s">
        <v>613</v>
      </c>
      <c r="N12" s="78" t="s">
        <v>637</v>
      </c>
    </row>
    <row r="13" spans="1:14" s="49" customFormat="1" ht="73.5">
      <c r="A13" s="73">
        <v>9</v>
      </c>
      <c r="B13" s="73" t="s">
        <v>642</v>
      </c>
      <c r="C13" s="73">
        <v>9</v>
      </c>
      <c r="D13" s="74" t="s">
        <v>643</v>
      </c>
      <c r="E13" s="73">
        <v>9</v>
      </c>
      <c r="F13" s="74" t="s">
        <v>644</v>
      </c>
      <c r="G13" s="78" t="s">
        <v>635</v>
      </c>
      <c r="H13" s="73" t="s">
        <v>27</v>
      </c>
      <c r="I13" s="73"/>
      <c r="J13" s="74" t="s">
        <v>645</v>
      </c>
      <c r="K13" s="74"/>
      <c r="L13" s="74" t="s">
        <v>612</v>
      </c>
      <c r="M13" s="73" t="s">
        <v>613</v>
      </c>
      <c r="N13" s="78" t="s">
        <v>637</v>
      </c>
    </row>
    <row r="14" spans="1:14" s="49" customFormat="1" ht="73.5">
      <c r="A14" s="73">
        <v>10</v>
      </c>
      <c r="B14" s="73" t="s">
        <v>646</v>
      </c>
      <c r="C14" s="73">
        <v>10</v>
      </c>
      <c r="D14" s="74" t="s">
        <v>647</v>
      </c>
      <c r="E14" s="73">
        <v>10</v>
      </c>
      <c r="F14" s="74" t="s">
        <v>648</v>
      </c>
      <c r="G14" s="78" t="s">
        <v>635</v>
      </c>
      <c r="H14" s="73" t="s">
        <v>27</v>
      </c>
      <c r="I14" s="73"/>
      <c r="J14" s="74" t="s">
        <v>649</v>
      </c>
      <c r="K14" s="74"/>
      <c r="L14" s="74" t="s">
        <v>612</v>
      </c>
      <c r="M14" s="73" t="s">
        <v>613</v>
      </c>
      <c r="N14" s="78" t="s">
        <v>637</v>
      </c>
    </row>
    <row r="15" spans="1:14" s="49" customFormat="1" ht="73.5">
      <c r="A15" s="73">
        <v>11</v>
      </c>
      <c r="B15" s="73" t="s">
        <v>41</v>
      </c>
      <c r="C15" s="73">
        <v>11</v>
      </c>
      <c r="D15" s="74" t="s">
        <v>42</v>
      </c>
      <c r="E15" s="73">
        <v>11</v>
      </c>
      <c r="F15" s="74" t="s">
        <v>650</v>
      </c>
      <c r="G15" s="78" t="s">
        <v>610</v>
      </c>
      <c r="H15" s="73" t="s">
        <v>27</v>
      </c>
      <c r="I15" s="73"/>
      <c r="J15" s="74" t="s">
        <v>651</v>
      </c>
      <c r="K15" s="74"/>
      <c r="L15" s="74" t="s">
        <v>612</v>
      </c>
      <c r="M15" s="73" t="s">
        <v>613</v>
      </c>
      <c r="N15" s="78" t="s">
        <v>623</v>
      </c>
    </row>
    <row r="16" spans="1:14" s="49" customFormat="1" ht="73.5">
      <c r="A16" s="73">
        <v>12</v>
      </c>
      <c r="B16" s="73" t="s">
        <v>652</v>
      </c>
      <c r="C16" s="73">
        <v>12</v>
      </c>
      <c r="D16" s="74" t="s">
        <v>653</v>
      </c>
      <c r="E16" s="73">
        <v>12</v>
      </c>
      <c r="F16" s="74" t="s">
        <v>654</v>
      </c>
      <c r="G16" s="78" t="s">
        <v>610</v>
      </c>
      <c r="H16" s="73" t="s">
        <v>27</v>
      </c>
      <c r="I16" s="73"/>
      <c r="J16" s="74" t="s">
        <v>655</v>
      </c>
      <c r="K16" s="74"/>
      <c r="L16" s="74" t="s">
        <v>612</v>
      </c>
      <c r="M16" s="73" t="s">
        <v>613</v>
      </c>
      <c r="N16" s="78" t="s">
        <v>623</v>
      </c>
    </row>
    <row r="17" spans="1:14" s="49" customFormat="1" ht="73.5">
      <c r="A17" s="73">
        <v>13</v>
      </c>
      <c r="B17" s="73" t="s">
        <v>44</v>
      </c>
      <c r="C17" s="73">
        <v>13</v>
      </c>
      <c r="D17" s="74" t="s">
        <v>45</v>
      </c>
      <c r="E17" s="73">
        <v>13</v>
      </c>
      <c r="F17" s="74" t="s">
        <v>656</v>
      </c>
      <c r="G17" s="78" t="s">
        <v>610</v>
      </c>
      <c r="H17" s="73" t="s">
        <v>27</v>
      </c>
      <c r="I17" s="73"/>
      <c r="J17" s="74" t="s">
        <v>657</v>
      </c>
      <c r="K17" s="74"/>
      <c r="L17" s="74" t="s">
        <v>612</v>
      </c>
      <c r="M17" s="73" t="s">
        <v>613</v>
      </c>
      <c r="N17" s="78" t="s">
        <v>623</v>
      </c>
    </row>
    <row r="18" spans="1:14" s="49" customFormat="1" ht="73.5">
      <c r="A18" s="73">
        <v>14</v>
      </c>
      <c r="B18" s="73" t="s">
        <v>47</v>
      </c>
      <c r="C18" s="73">
        <v>14</v>
      </c>
      <c r="D18" s="74" t="s">
        <v>48</v>
      </c>
      <c r="E18" s="73">
        <v>14</v>
      </c>
      <c r="F18" s="74" t="s">
        <v>658</v>
      </c>
      <c r="G18" s="78" t="s">
        <v>610</v>
      </c>
      <c r="H18" s="73" t="s">
        <v>27</v>
      </c>
      <c r="I18" s="73"/>
      <c r="J18" s="74" t="s">
        <v>659</v>
      </c>
      <c r="K18" s="74"/>
      <c r="L18" s="74" t="s">
        <v>612</v>
      </c>
      <c r="M18" s="73" t="s">
        <v>613</v>
      </c>
      <c r="N18" s="78" t="s">
        <v>623</v>
      </c>
    </row>
    <row r="19" spans="1:14" s="49" customFormat="1" ht="73.5">
      <c r="A19" s="73">
        <v>15</v>
      </c>
      <c r="B19" s="73" t="s">
        <v>50</v>
      </c>
      <c r="C19" s="73">
        <v>15</v>
      </c>
      <c r="D19" s="74" t="s">
        <v>51</v>
      </c>
      <c r="E19" s="73">
        <v>15</v>
      </c>
      <c r="F19" s="74" t="s">
        <v>660</v>
      </c>
      <c r="G19" s="78" t="s">
        <v>610</v>
      </c>
      <c r="H19" s="73" t="s">
        <v>27</v>
      </c>
      <c r="I19" s="73"/>
      <c r="J19" s="74" t="s">
        <v>661</v>
      </c>
      <c r="K19" s="74"/>
      <c r="L19" s="74" t="s">
        <v>612</v>
      </c>
      <c r="M19" s="73" t="s">
        <v>613</v>
      </c>
      <c r="N19" s="78" t="s">
        <v>623</v>
      </c>
    </row>
    <row r="20" spans="1:14" s="49" customFormat="1" ht="157.5">
      <c r="A20" s="73">
        <v>16</v>
      </c>
      <c r="B20" s="73" t="s">
        <v>53</v>
      </c>
      <c r="C20" s="73">
        <v>16</v>
      </c>
      <c r="D20" s="74" t="s">
        <v>54</v>
      </c>
      <c r="E20" s="73">
        <v>16</v>
      </c>
      <c r="F20" s="74" t="s">
        <v>662</v>
      </c>
      <c r="G20" s="73" t="s">
        <v>610</v>
      </c>
      <c r="H20" s="73" t="s">
        <v>20</v>
      </c>
      <c r="I20" s="73" t="s">
        <v>663</v>
      </c>
      <c r="J20" s="79" t="s">
        <v>664</v>
      </c>
      <c r="K20" s="74"/>
      <c r="L20" s="74" t="s">
        <v>612</v>
      </c>
      <c r="M20" s="73" t="s">
        <v>613</v>
      </c>
      <c r="N20" s="73" t="s">
        <v>614</v>
      </c>
    </row>
    <row r="21" spans="1:14" s="49" customFormat="1" ht="73.5">
      <c r="A21" s="73">
        <v>17</v>
      </c>
      <c r="B21" s="73" t="s">
        <v>56</v>
      </c>
      <c r="C21" s="73">
        <v>17</v>
      </c>
      <c r="D21" s="74" t="s">
        <v>57</v>
      </c>
      <c r="E21" s="73">
        <v>17</v>
      </c>
      <c r="F21" s="74" t="s">
        <v>665</v>
      </c>
      <c r="G21" s="73" t="s">
        <v>620</v>
      </c>
      <c r="H21" s="73" t="s">
        <v>27</v>
      </c>
      <c r="I21" s="73"/>
      <c r="J21" s="79" t="s">
        <v>666</v>
      </c>
      <c r="K21" s="74"/>
      <c r="L21" s="74" t="s">
        <v>612</v>
      </c>
      <c r="M21" s="73" t="s">
        <v>613</v>
      </c>
      <c r="N21" s="73" t="s">
        <v>623</v>
      </c>
    </row>
    <row r="22" spans="1:14" s="49" customFormat="1" ht="73.5">
      <c r="A22" s="73">
        <v>18</v>
      </c>
      <c r="B22" s="73" t="s">
        <v>667</v>
      </c>
      <c r="C22" s="73">
        <v>18</v>
      </c>
      <c r="D22" s="74" t="s">
        <v>668</v>
      </c>
      <c r="E22" s="73">
        <v>18</v>
      </c>
      <c r="F22" s="74" t="s">
        <v>669</v>
      </c>
      <c r="G22" s="73" t="s">
        <v>610</v>
      </c>
      <c r="H22" s="73" t="s">
        <v>27</v>
      </c>
      <c r="I22" s="73"/>
      <c r="J22" s="74" t="s">
        <v>670</v>
      </c>
      <c r="K22" s="74"/>
      <c r="L22" s="74" t="s">
        <v>612</v>
      </c>
      <c r="M22" s="73" t="s">
        <v>613</v>
      </c>
      <c r="N22" s="73" t="s">
        <v>614</v>
      </c>
    </row>
    <row r="23" spans="1:14" s="49" customFormat="1" ht="42">
      <c r="A23" s="73">
        <v>19</v>
      </c>
      <c r="B23" s="73" t="s">
        <v>671</v>
      </c>
      <c r="C23" s="73">
        <v>19</v>
      </c>
      <c r="D23" s="74" t="s">
        <v>672</v>
      </c>
      <c r="E23" s="73">
        <v>19</v>
      </c>
      <c r="F23" s="74" t="s">
        <v>673</v>
      </c>
      <c r="G23" s="73" t="s">
        <v>610</v>
      </c>
      <c r="H23" s="73" t="s">
        <v>27</v>
      </c>
      <c r="I23" s="73"/>
      <c r="J23" s="74" t="s">
        <v>674</v>
      </c>
      <c r="K23" s="74"/>
      <c r="L23" s="74" t="s">
        <v>612</v>
      </c>
      <c r="M23" s="73" t="s">
        <v>613</v>
      </c>
      <c r="N23" s="73" t="s">
        <v>614</v>
      </c>
    </row>
    <row r="24" spans="1:14" s="49" customFormat="1" ht="73.5">
      <c r="A24" s="73">
        <v>20</v>
      </c>
      <c r="B24" s="73" t="s">
        <v>59</v>
      </c>
      <c r="C24" s="73">
        <v>20</v>
      </c>
      <c r="D24" s="74" t="s">
        <v>60</v>
      </c>
      <c r="E24" s="73">
        <v>20</v>
      </c>
      <c r="F24" s="74" t="s">
        <v>675</v>
      </c>
      <c r="G24" s="78" t="s">
        <v>610</v>
      </c>
      <c r="H24" s="73" t="s">
        <v>27</v>
      </c>
      <c r="I24" s="73"/>
      <c r="J24" s="74" t="s">
        <v>676</v>
      </c>
      <c r="K24" s="74"/>
      <c r="L24" s="74" t="s">
        <v>612</v>
      </c>
      <c r="M24" s="73" t="s">
        <v>613</v>
      </c>
      <c r="N24" s="78" t="s">
        <v>623</v>
      </c>
    </row>
    <row r="25" spans="1:14" s="49" customFormat="1" ht="73.5">
      <c r="A25" s="73">
        <v>21</v>
      </c>
      <c r="B25" s="73" t="s">
        <v>62</v>
      </c>
      <c r="C25" s="73">
        <v>21</v>
      </c>
      <c r="D25" s="74" t="s">
        <v>63</v>
      </c>
      <c r="E25" s="73">
        <v>21</v>
      </c>
      <c r="F25" s="74" t="s">
        <v>677</v>
      </c>
      <c r="G25" s="78" t="s">
        <v>635</v>
      </c>
      <c r="H25" s="73" t="s">
        <v>27</v>
      </c>
      <c r="I25" s="73"/>
      <c r="J25" s="74" t="s">
        <v>678</v>
      </c>
      <c r="K25" s="74"/>
      <c r="L25" s="74" t="s">
        <v>612</v>
      </c>
      <c r="M25" s="73" t="s">
        <v>613</v>
      </c>
      <c r="N25" s="78" t="s">
        <v>637</v>
      </c>
    </row>
    <row r="26" spans="1:14" s="49" customFormat="1" ht="73.5">
      <c r="A26" s="73">
        <v>22</v>
      </c>
      <c r="B26" s="73" t="s">
        <v>65</v>
      </c>
      <c r="C26" s="73">
        <v>22</v>
      </c>
      <c r="D26" s="74" t="s">
        <v>66</v>
      </c>
      <c r="E26" s="73">
        <v>22</v>
      </c>
      <c r="F26" s="74" t="s">
        <v>679</v>
      </c>
      <c r="G26" s="78" t="s">
        <v>635</v>
      </c>
      <c r="H26" s="73" t="s">
        <v>27</v>
      </c>
      <c r="I26" s="73"/>
      <c r="J26" s="74" t="s">
        <v>680</v>
      </c>
      <c r="K26" s="74"/>
      <c r="L26" s="74" t="s">
        <v>612</v>
      </c>
      <c r="M26" s="73" t="s">
        <v>613</v>
      </c>
      <c r="N26" s="78" t="s">
        <v>637</v>
      </c>
    </row>
    <row r="27" spans="1:14" s="49" customFormat="1" ht="73.5">
      <c r="A27" s="73">
        <v>23</v>
      </c>
      <c r="B27" s="73" t="s">
        <v>68</v>
      </c>
      <c r="C27" s="73">
        <v>23</v>
      </c>
      <c r="D27" s="74" t="s">
        <v>69</v>
      </c>
      <c r="E27" s="73">
        <v>23</v>
      </c>
      <c r="F27" s="74" t="s">
        <v>681</v>
      </c>
      <c r="G27" s="78" t="s">
        <v>635</v>
      </c>
      <c r="H27" s="73" t="s">
        <v>27</v>
      </c>
      <c r="I27" s="73"/>
      <c r="J27" s="74" t="s">
        <v>682</v>
      </c>
      <c r="K27" s="74"/>
      <c r="L27" s="74" t="s">
        <v>612</v>
      </c>
      <c r="M27" s="73" t="s">
        <v>613</v>
      </c>
      <c r="N27" s="78" t="s">
        <v>637</v>
      </c>
    </row>
    <row r="28" spans="1:14" s="49" customFormat="1" ht="73.5">
      <c r="A28" s="73">
        <v>24</v>
      </c>
      <c r="B28" s="73" t="s">
        <v>683</v>
      </c>
      <c r="C28" s="73">
        <v>24</v>
      </c>
      <c r="D28" s="74" t="s">
        <v>684</v>
      </c>
      <c r="E28" s="73">
        <v>24</v>
      </c>
      <c r="F28" s="74" t="s">
        <v>685</v>
      </c>
      <c r="G28" s="78" t="s">
        <v>635</v>
      </c>
      <c r="H28" s="73" t="s">
        <v>27</v>
      </c>
      <c r="I28" s="73"/>
      <c r="J28" s="74" t="s">
        <v>686</v>
      </c>
      <c r="K28" s="74"/>
      <c r="L28" s="74" t="s">
        <v>612</v>
      </c>
      <c r="M28" s="73" t="s">
        <v>613</v>
      </c>
      <c r="N28" s="78" t="s">
        <v>637</v>
      </c>
    </row>
    <row r="29" spans="1:14" s="49" customFormat="1" ht="73.5">
      <c r="A29" s="73">
        <v>25</v>
      </c>
      <c r="B29" s="73" t="s">
        <v>687</v>
      </c>
      <c r="C29" s="73">
        <v>25</v>
      </c>
      <c r="D29" s="74" t="s">
        <v>688</v>
      </c>
      <c r="E29" s="73">
        <v>25</v>
      </c>
      <c r="F29" s="74" t="s">
        <v>689</v>
      </c>
      <c r="G29" s="78" t="s">
        <v>635</v>
      </c>
      <c r="H29" s="73" t="s">
        <v>27</v>
      </c>
      <c r="I29" s="73"/>
      <c r="J29" s="74" t="s">
        <v>690</v>
      </c>
      <c r="K29" s="74"/>
      <c r="L29" s="74" t="s">
        <v>612</v>
      </c>
      <c r="M29" s="73" t="s">
        <v>613</v>
      </c>
      <c r="N29" s="78" t="s">
        <v>637</v>
      </c>
    </row>
    <row r="30" spans="1:14" s="49" customFormat="1" ht="73.5">
      <c r="A30" s="73">
        <v>26</v>
      </c>
      <c r="B30" s="73" t="s">
        <v>71</v>
      </c>
      <c r="C30" s="73">
        <v>26</v>
      </c>
      <c r="D30" s="74" t="s">
        <v>72</v>
      </c>
      <c r="E30" s="73">
        <v>26</v>
      </c>
      <c r="F30" s="74" t="s">
        <v>691</v>
      </c>
      <c r="G30" s="78" t="s">
        <v>610</v>
      </c>
      <c r="H30" s="73" t="s">
        <v>27</v>
      </c>
      <c r="I30" s="73"/>
      <c r="J30" s="74" t="s">
        <v>692</v>
      </c>
      <c r="K30" s="74"/>
      <c r="L30" s="74" t="s">
        <v>612</v>
      </c>
      <c r="M30" s="73" t="s">
        <v>613</v>
      </c>
      <c r="N30" s="78" t="s">
        <v>623</v>
      </c>
    </row>
    <row r="31" spans="1:14" s="49" customFormat="1" ht="73.5">
      <c r="A31" s="73">
        <v>27</v>
      </c>
      <c r="B31" s="73" t="s">
        <v>693</v>
      </c>
      <c r="C31" s="73">
        <v>27</v>
      </c>
      <c r="D31" s="74" t="s">
        <v>694</v>
      </c>
      <c r="E31" s="73">
        <v>27</v>
      </c>
      <c r="F31" s="74" t="s">
        <v>695</v>
      </c>
      <c r="G31" s="78" t="s">
        <v>610</v>
      </c>
      <c r="H31" s="73" t="s">
        <v>27</v>
      </c>
      <c r="I31" s="73"/>
      <c r="J31" s="74" t="s">
        <v>696</v>
      </c>
      <c r="K31" s="74"/>
      <c r="L31" s="74" t="s">
        <v>612</v>
      </c>
      <c r="M31" s="73" t="s">
        <v>613</v>
      </c>
      <c r="N31" s="78" t="s">
        <v>623</v>
      </c>
    </row>
    <row r="32" spans="1:14" s="49" customFormat="1" ht="73.5">
      <c r="A32" s="73">
        <v>28</v>
      </c>
      <c r="B32" s="73" t="s">
        <v>74</v>
      </c>
      <c r="C32" s="73">
        <v>28</v>
      </c>
      <c r="D32" s="74" t="s">
        <v>75</v>
      </c>
      <c r="E32" s="73">
        <v>28</v>
      </c>
      <c r="F32" s="74" t="s">
        <v>697</v>
      </c>
      <c r="G32" s="78" t="s">
        <v>610</v>
      </c>
      <c r="H32" s="73" t="s">
        <v>27</v>
      </c>
      <c r="I32" s="73"/>
      <c r="J32" s="74" t="s">
        <v>698</v>
      </c>
      <c r="K32" s="74"/>
      <c r="L32" s="74" t="s">
        <v>612</v>
      </c>
      <c r="M32" s="73" t="s">
        <v>613</v>
      </c>
      <c r="N32" s="78" t="s">
        <v>623</v>
      </c>
    </row>
    <row r="33" spans="1:14" s="49" customFormat="1" ht="73.5">
      <c r="A33" s="73">
        <v>29</v>
      </c>
      <c r="B33" s="73" t="s">
        <v>77</v>
      </c>
      <c r="C33" s="73">
        <v>29</v>
      </c>
      <c r="D33" s="74" t="s">
        <v>78</v>
      </c>
      <c r="E33" s="73">
        <v>29</v>
      </c>
      <c r="F33" s="74" t="s">
        <v>699</v>
      </c>
      <c r="G33" s="78" t="s">
        <v>610</v>
      </c>
      <c r="H33" s="73" t="s">
        <v>27</v>
      </c>
      <c r="I33" s="73"/>
      <c r="J33" s="74" t="s">
        <v>700</v>
      </c>
      <c r="K33" s="74"/>
      <c r="L33" s="74" t="s">
        <v>612</v>
      </c>
      <c r="M33" s="73" t="s">
        <v>613</v>
      </c>
      <c r="N33" s="78" t="s">
        <v>623</v>
      </c>
    </row>
    <row r="34" spans="1:14" s="49" customFormat="1" ht="73.5">
      <c r="A34" s="73">
        <v>30</v>
      </c>
      <c r="B34" s="73" t="s">
        <v>80</v>
      </c>
      <c r="C34" s="73">
        <v>30</v>
      </c>
      <c r="D34" s="74" t="s">
        <v>81</v>
      </c>
      <c r="E34" s="73">
        <v>30</v>
      </c>
      <c r="F34" s="74" t="s">
        <v>701</v>
      </c>
      <c r="G34" s="78" t="s">
        <v>610</v>
      </c>
      <c r="H34" s="73" t="s">
        <v>27</v>
      </c>
      <c r="I34" s="73"/>
      <c r="J34" s="74" t="s">
        <v>702</v>
      </c>
      <c r="K34" s="74"/>
      <c r="L34" s="74" t="s">
        <v>612</v>
      </c>
      <c r="M34" s="73" t="s">
        <v>613</v>
      </c>
      <c r="N34" s="78" t="s">
        <v>623</v>
      </c>
    </row>
    <row r="35" spans="1:14" s="49" customFormat="1" ht="73.5">
      <c r="A35" s="73">
        <v>31</v>
      </c>
      <c r="B35" s="73" t="s">
        <v>83</v>
      </c>
      <c r="C35" s="73">
        <v>31</v>
      </c>
      <c r="D35" s="74" t="s">
        <v>84</v>
      </c>
      <c r="E35" s="73">
        <v>31</v>
      </c>
      <c r="F35" s="74" t="s">
        <v>703</v>
      </c>
      <c r="G35" s="73" t="s">
        <v>704</v>
      </c>
      <c r="H35" s="73" t="s">
        <v>27</v>
      </c>
      <c r="I35" s="74"/>
      <c r="J35" s="73" t="s">
        <v>705</v>
      </c>
      <c r="K35" s="74"/>
      <c r="L35" s="74" t="s">
        <v>612</v>
      </c>
      <c r="M35" s="73" t="s">
        <v>613</v>
      </c>
      <c r="N35" s="73" t="s">
        <v>704</v>
      </c>
    </row>
    <row r="36" spans="1:14" s="49" customFormat="1" ht="84">
      <c r="A36" s="73">
        <v>32</v>
      </c>
      <c r="B36" s="73" t="s">
        <v>706</v>
      </c>
      <c r="C36" s="73">
        <v>32</v>
      </c>
      <c r="D36" s="74" t="s">
        <v>707</v>
      </c>
      <c r="E36" s="73">
        <v>32</v>
      </c>
      <c r="F36" s="74" t="s">
        <v>708</v>
      </c>
      <c r="G36" s="73" t="s">
        <v>610</v>
      </c>
      <c r="H36" s="73" t="s">
        <v>27</v>
      </c>
      <c r="I36" s="73"/>
      <c r="J36" s="73" t="s">
        <v>709</v>
      </c>
      <c r="K36" s="74"/>
      <c r="L36" s="74" t="s">
        <v>612</v>
      </c>
      <c r="M36" s="73" t="s">
        <v>613</v>
      </c>
      <c r="N36" s="73" t="s">
        <v>614</v>
      </c>
    </row>
    <row r="37" spans="1:14" s="49" customFormat="1" ht="94.5">
      <c r="A37" s="73">
        <v>33</v>
      </c>
      <c r="B37" s="73" t="s">
        <v>88</v>
      </c>
      <c r="C37" s="73">
        <v>33</v>
      </c>
      <c r="D37" s="74" t="s">
        <v>89</v>
      </c>
      <c r="E37" s="73">
        <v>33</v>
      </c>
      <c r="F37" s="74" t="s">
        <v>710</v>
      </c>
      <c r="G37" s="73" t="s">
        <v>610</v>
      </c>
      <c r="H37" s="73" t="s">
        <v>27</v>
      </c>
      <c r="I37" s="73"/>
      <c r="J37" s="73" t="s">
        <v>711</v>
      </c>
      <c r="K37" s="74" t="s">
        <v>712</v>
      </c>
      <c r="L37" s="74" t="s">
        <v>612</v>
      </c>
      <c r="M37" s="73"/>
      <c r="N37" s="73" t="s">
        <v>614</v>
      </c>
    </row>
    <row r="38" spans="1:14" s="49" customFormat="1" ht="73.5">
      <c r="A38" s="73">
        <f>A37+1</f>
        <v>34</v>
      </c>
      <c r="B38" s="73" t="s">
        <v>90</v>
      </c>
      <c r="C38" s="73">
        <f>C37+1</f>
        <v>34</v>
      </c>
      <c r="D38" s="74" t="s">
        <v>91</v>
      </c>
      <c r="E38" s="73">
        <f>E37+1</f>
        <v>34</v>
      </c>
      <c r="F38" s="74" t="s">
        <v>713</v>
      </c>
      <c r="G38" s="73" t="s">
        <v>704</v>
      </c>
      <c r="H38" s="73" t="s">
        <v>20</v>
      </c>
      <c r="I38" s="74"/>
      <c r="J38" s="73" t="s">
        <v>714</v>
      </c>
      <c r="K38" s="74"/>
      <c r="L38" s="74" t="s">
        <v>612</v>
      </c>
      <c r="M38" s="73" t="s">
        <v>613</v>
      </c>
      <c r="N38" s="73" t="s">
        <v>704</v>
      </c>
    </row>
    <row r="39" spans="1:14" s="49" customFormat="1" ht="73.5">
      <c r="A39" s="73">
        <f t="shared" ref="A39:C102" si="0">A38+1</f>
        <v>35</v>
      </c>
      <c r="B39" s="73" t="s">
        <v>94</v>
      </c>
      <c r="C39" s="73">
        <f t="shared" si="0"/>
        <v>35</v>
      </c>
      <c r="D39" s="74" t="s">
        <v>95</v>
      </c>
      <c r="E39" s="73">
        <f t="shared" ref="E39" si="1">E38+1</f>
        <v>35</v>
      </c>
      <c r="F39" s="74" t="s">
        <v>715</v>
      </c>
      <c r="G39" s="73" t="s">
        <v>704</v>
      </c>
      <c r="H39" s="73" t="s">
        <v>20</v>
      </c>
      <c r="I39" s="74"/>
      <c r="J39" s="73" t="s">
        <v>716</v>
      </c>
      <c r="K39" s="74"/>
      <c r="L39" s="74" t="s">
        <v>612</v>
      </c>
      <c r="M39" s="73" t="s">
        <v>613</v>
      </c>
      <c r="N39" s="73" t="s">
        <v>704</v>
      </c>
    </row>
    <row r="40" spans="1:14" s="49" customFormat="1" ht="73.5">
      <c r="A40" s="73">
        <f t="shared" si="0"/>
        <v>36</v>
      </c>
      <c r="B40" s="73" t="s">
        <v>97</v>
      </c>
      <c r="C40" s="73">
        <f t="shared" si="0"/>
        <v>36</v>
      </c>
      <c r="D40" s="74" t="s">
        <v>98</v>
      </c>
      <c r="E40" s="73">
        <f t="shared" ref="E40" si="2">E39+1</f>
        <v>36</v>
      </c>
      <c r="F40" s="74" t="s">
        <v>717</v>
      </c>
      <c r="G40" s="73" t="s">
        <v>704</v>
      </c>
      <c r="H40" s="73" t="s">
        <v>27</v>
      </c>
      <c r="I40" s="74"/>
      <c r="J40" s="73" t="s">
        <v>718</v>
      </c>
      <c r="K40" s="74"/>
      <c r="L40" s="74" t="s">
        <v>612</v>
      </c>
      <c r="M40" s="73" t="s">
        <v>613</v>
      </c>
      <c r="N40" s="73" t="s">
        <v>704</v>
      </c>
    </row>
    <row r="41" spans="1:14" s="49" customFormat="1" ht="73.5">
      <c r="A41" s="73">
        <f t="shared" si="0"/>
        <v>37</v>
      </c>
      <c r="B41" s="73" t="s">
        <v>101</v>
      </c>
      <c r="C41" s="73">
        <f t="shared" si="0"/>
        <v>37</v>
      </c>
      <c r="D41" s="74" t="s">
        <v>102</v>
      </c>
      <c r="E41" s="73">
        <f t="shared" ref="E41" si="3">E40+1</f>
        <v>37</v>
      </c>
      <c r="F41" s="74" t="s">
        <v>719</v>
      </c>
      <c r="G41" s="73" t="s">
        <v>620</v>
      </c>
      <c r="H41" s="73" t="s">
        <v>27</v>
      </c>
      <c r="I41" s="73"/>
      <c r="J41" s="73" t="s">
        <v>720</v>
      </c>
      <c r="K41" s="74"/>
      <c r="L41" s="74" t="s">
        <v>612</v>
      </c>
      <c r="M41" s="73" t="s">
        <v>613</v>
      </c>
      <c r="N41" s="73" t="s">
        <v>623</v>
      </c>
    </row>
    <row r="42" spans="1:14" s="49" customFormat="1" ht="73.5">
      <c r="A42" s="73">
        <f t="shared" si="0"/>
        <v>38</v>
      </c>
      <c r="B42" s="73" t="s">
        <v>104</v>
      </c>
      <c r="C42" s="73">
        <f t="shared" si="0"/>
        <v>38</v>
      </c>
      <c r="D42" s="74" t="s">
        <v>105</v>
      </c>
      <c r="E42" s="73">
        <f t="shared" ref="E42" si="4">E41+1</f>
        <v>38</v>
      </c>
      <c r="F42" s="74" t="s">
        <v>721</v>
      </c>
      <c r="G42" s="73" t="s">
        <v>704</v>
      </c>
      <c r="H42" s="73" t="s">
        <v>27</v>
      </c>
      <c r="I42" s="74"/>
      <c r="J42" s="73" t="s">
        <v>722</v>
      </c>
      <c r="K42" s="74"/>
      <c r="L42" s="74" t="s">
        <v>612</v>
      </c>
      <c r="M42" s="73" t="s">
        <v>613</v>
      </c>
      <c r="N42" s="73" t="s">
        <v>704</v>
      </c>
    </row>
    <row r="43" spans="1:14" s="49" customFormat="1" ht="84">
      <c r="A43" s="73">
        <f t="shared" si="0"/>
        <v>39</v>
      </c>
      <c r="B43" s="73" t="s">
        <v>107</v>
      </c>
      <c r="C43" s="73">
        <f t="shared" si="0"/>
        <v>39</v>
      </c>
      <c r="D43" s="74" t="s">
        <v>108</v>
      </c>
      <c r="E43" s="73">
        <f t="shared" ref="E43" si="5">E42+1</f>
        <v>39</v>
      </c>
      <c r="F43" s="74" t="s">
        <v>723</v>
      </c>
      <c r="G43" s="73" t="s">
        <v>704</v>
      </c>
      <c r="H43" s="73" t="s">
        <v>27</v>
      </c>
      <c r="I43" s="74"/>
      <c r="J43" s="73" t="s">
        <v>724</v>
      </c>
      <c r="K43" s="74"/>
      <c r="L43" s="74" t="s">
        <v>612</v>
      </c>
      <c r="M43" s="73" t="s">
        <v>613</v>
      </c>
      <c r="N43" s="73" t="s">
        <v>704</v>
      </c>
    </row>
    <row r="44" spans="1:14" s="49" customFormat="1" ht="42">
      <c r="A44" s="73">
        <f t="shared" si="0"/>
        <v>40</v>
      </c>
      <c r="B44" s="73" t="s">
        <v>110</v>
      </c>
      <c r="C44" s="73">
        <f t="shared" si="0"/>
        <v>40</v>
      </c>
      <c r="D44" s="79" t="s">
        <v>111</v>
      </c>
      <c r="E44" s="73">
        <f t="shared" ref="E44" si="6">E43+1</f>
        <v>40</v>
      </c>
      <c r="F44" s="74" t="s">
        <v>725</v>
      </c>
      <c r="G44" s="73" t="s">
        <v>610</v>
      </c>
      <c r="H44" s="73" t="s">
        <v>27</v>
      </c>
      <c r="I44" s="73"/>
      <c r="J44" s="79" t="s">
        <v>726</v>
      </c>
      <c r="K44" s="79"/>
      <c r="L44" s="74" t="s">
        <v>612</v>
      </c>
      <c r="M44" s="73" t="s">
        <v>613</v>
      </c>
      <c r="N44" s="73" t="s">
        <v>614</v>
      </c>
    </row>
    <row r="45" spans="1:14" s="49" customFormat="1" ht="42">
      <c r="A45" s="73">
        <f t="shared" si="0"/>
        <v>41</v>
      </c>
      <c r="B45" s="73" t="s">
        <v>113</v>
      </c>
      <c r="C45" s="73">
        <f t="shared" si="0"/>
        <v>41</v>
      </c>
      <c r="D45" s="74" t="s">
        <v>114</v>
      </c>
      <c r="E45" s="73">
        <f t="shared" ref="E45" si="7">E44+1</f>
        <v>41</v>
      </c>
      <c r="F45" s="74" t="s">
        <v>727</v>
      </c>
      <c r="G45" s="73" t="s">
        <v>610</v>
      </c>
      <c r="H45" s="73" t="s">
        <v>27</v>
      </c>
      <c r="I45" s="73"/>
      <c r="J45" s="73" t="s">
        <v>728</v>
      </c>
      <c r="K45" s="74"/>
      <c r="L45" s="74" t="s">
        <v>612</v>
      </c>
      <c r="M45" s="73" t="s">
        <v>613</v>
      </c>
      <c r="N45" s="73" t="s">
        <v>614</v>
      </c>
    </row>
    <row r="46" spans="1:14" s="49" customFormat="1" ht="42">
      <c r="A46" s="73">
        <f t="shared" si="0"/>
        <v>42</v>
      </c>
      <c r="B46" s="73" t="s">
        <v>117</v>
      </c>
      <c r="C46" s="73">
        <f t="shared" si="0"/>
        <v>42</v>
      </c>
      <c r="D46" s="74" t="s">
        <v>118</v>
      </c>
      <c r="E46" s="73">
        <f t="shared" ref="E46" si="8">E45+1</f>
        <v>42</v>
      </c>
      <c r="F46" s="74" t="s">
        <v>729</v>
      </c>
      <c r="G46" s="73" t="s">
        <v>610</v>
      </c>
      <c r="H46" s="73" t="s">
        <v>27</v>
      </c>
      <c r="I46" s="73"/>
      <c r="J46" s="73" t="s">
        <v>730</v>
      </c>
      <c r="K46" s="74"/>
      <c r="L46" s="74" t="s">
        <v>612</v>
      </c>
      <c r="M46" s="73" t="s">
        <v>613</v>
      </c>
      <c r="N46" s="73" t="s">
        <v>614</v>
      </c>
    </row>
    <row r="47" spans="1:14" s="49" customFormat="1" ht="84">
      <c r="A47" s="73">
        <f t="shared" si="0"/>
        <v>43</v>
      </c>
      <c r="B47" s="73" t="s">
        <v>120</v>
      </c>
      <c r="C47" s="73">
        <f t="shared" si="0"/>
        <v>43</v>
      </c>
      <c r="D47" s="74" t="s">
        <v>121</v>
      </c>
      <c r="E47" s="73">
        <f t="shared" ref="E47" si="9">E46+1</f>
        <v>43</v>
      </c>
      <c r="F47" s="74" t="s">
        <v>731</v>
      </c>
      <c r="G47" s="73" t="s">
        <v>610</v>
      </c>
      <c r="H47" s="73" t="s">
        <v>27</v>
      </c>
      <c r="I47" s="73"/>
      <c r="J47" s="73" t="s">
        <v>732</v>
      </c>
      <c r="K47" s="74"/>
      <c r="L47" s="74" t="s">
        <v>612</v>
      </c>
      <c r="M47" s="73" t="s">
        <v>613</v>
      </c>
      <c r="N47" s="73" t="s">
        <v>614</v>
      </c>
    </row>
    <row r="48" spans="1:14" s="49" customFormat="1" ht="73.5">
      <c r="A48" s="73">
        <f t="shared" si="0"/>
        <v>44</v>
      </c>
      <c r="B48" s="73" t="s">
        <v>123</v>
      </c>
      <c r="C48" s="73">
        <f t="shared" si="0"/>
        <v>44</v>
      </c>
      <c r="D48" s="74" t="s">
        <v>124</v>
      </c>
      <c r="E48" s="73">
        <f t="shared" ref="E48" si="10">E47+1</f>
        <v>44</v>
      </c>
      <c r="F48" s="74" t="s">
        <v>733</v>
      </c>
      <c r="G48" s="73" t="s">
        <v>610</v>
      </c>
      <c r="H48" s="73" t="s">
        <v>27</v>
      </c>
      <c r="I48" s="73"/>
      <c r="J48" s="73" t="s">
        <v>734</v>
      </c>
      <c r="K48" s="74"/>
      <c r="L48" s="74" t="s">
        <v>612</v>
      </c>
      <c r="M48" s="73" t="s">
        <v>613</v>
      </c>
      <c r="N48" s="73" t="s">
        <v>614</v>
      </c>
    </row>
    <row r="49" spans="1:14" s="49" customFormat="1" ht="52.5">
      <c r="A49" s="73">
        <f t="shared" si="0"/>
        <v>45</v>
      </c>
      <c r="B49" s="73" t="s">
        <v>126</v>
      </c>
      <c r="C49" s="73">
        <f t="shared" si="0"/>
        <v>45</v>
      </c>
      <c r="D49" s="74" t="s">
        <v>127</v>
      </c>
      <c r="E49" s="73">
        <f t="shared" ref="E49" si="11">E48+1</f>
        <v>45</v>
      </c>
      <c r="F49" s="74" t="s">
        <v>735</v>
      </c>
      <c r="G49" s="73" t="s">
        <v>610</v>
      </c>
      <c r="H49" s="73" t="s">
        <v>27</v>
      </c>
      <c r="I49" s="73"/>
      <c r="J49" s="73" t="s">
        <v>736</v>
      </c>
      <c r="K49" s="74"/>
      <c r="L49" s="74" t="s">
        <v>612</v>
      </c>
      <c r="M49" s="73" t="s">
        <v>613</v>
      </c>
      <c r="N49" s="73" t="s">
        <v>614</v>
      </c>
    </row>
    <row r="50" spans="1:14" s="49" customFormat="1" ht="73.5">
      <c r="A50" s="73">
        <f t="shared" si="0"/>
        <v>46</v>
      </c>
      <c r="B50" s="73" t="s">
        <v>129</v>
      </c>
      <c r="C50" s="73">
        <f t="shared" si="0"/>
        <v>46</v>
      </c>
      <c r="D50" s="74" t="s">
        <v>130</v>
      </c>
      <c r="E50" s="73">
        <f t="shared" ref="E50" si="12">E49+1</f>
        <v>46</v>
      </c>
      <c r="F50" s="74" t="s">
        <v>737</v>
      </c>
      <c r="G50" s="73" t="s">
        <v>610</v>
      </c>
      <c r="H50" s="73" t="s">
        <v>27</v>
      </c>
      <c r="I50" s="73"/>
      <c r="J50" s="73" t="s">
        <v>738</v>
      </c>
      <c r="K50" s="74"/>
      <c r="L50" s="74" t="s">
        <v>612</v>
      </c>
      <c r="M50" s="73" t="s">
        <v>613</v>
      </c>
      <c r="N50" s="73" t="s">
        <v>614</v>
      </c>
    </row>
    <row r="51" spans="1:14" s="49" customFormat="1" ht="73.5">
      <c r="A51" s="73">
        <f t="shared" si="0"/>
        <v>47</v>
      </c>
      <c r="B51" s="73" t="s">
        <v>132</v>
      </c>
      <c r="C51" s="73">
        <f t="shared" si="0"/>
        <v>47</v>
      </c>
      <c r="D51" s="74" t="s">
        <v>133</v>
      </c>
      <c r="E51" s="73">
        <f t="shared" ref="E51" si="13">E50+1</f>
        <v>47</v>
      </c>
      <c r="F51" s="74" t="s">
        <v>739</v>
      </c>
      <c r="G51" s="73" t="s">
        <v>610</v>
      </c>
      <c r="H51" s="73" t="s">
        <v>20</v>
      </c>
      <c r="I51" s="73" t="s">
        <v>740</v>
      </c>
      <c r="J51" s="73" t="s">
        <v>741</v>
      </c>
      <c r="K51" s="74"/>
      <c r="L51" s="74" t="s">
        <v>612</v>
      </c>
      <c r="M51" s="73" t="s">
        <v>613</v>
      </c>
      <c r="N51" s="73" t="s">
        <v>614</v>
      </c>
    </row>
    <row r="52" spans="1:14" s="49" customFormat="1" ht="73.5">
      <c r="A52" s="73">
        <f t="shared" si="0"/>
        <v>48</v>
      </c>
      <c r="B52" s="73" t="s">
        <v>135</v>
      </c>
      <c r="C52" s="73">
        <f t="shared" si="0"/>
        <v>48</v>
      </c>
      <c r="D52" s="74" t="s">
        <v>136</v>
      </c>
      <c r="E52" s="73">
        <f t="shared" ref="E52" si="14">E51+1</f>
        <v>48</v>
      </c>
      <c r="F52" s="74" t="s">
        <v>742</v>
      </c>
      <c r="G52" s="73" t="s">
        <v>610</v>
      </c>
      <c r="H52" s="73" t="s">
        <v>27</v>
      </c>
      <c r="I52" s="73"/>
      <c r="J52" s="73" t="s">
        <v>743</v>
      </c>
      <c r="K52" s="74"/>
      <c r="L52" s="74" t="s">
        <v>612</v>
      </c>
      <c r="M52" s="73" t="s">
        <v>613</v>
      </c>
      <c r="N52" s="73" t="s">
        <v>614</v>
      </c>
    </row>
    <row r="53" spans="1:14" s="49" customFormat="1" ht="42">
      <c r="A53" s="73">
        <f t="shared" si="0"/>
        <v>49</v>
      </c>
      <c r="B53" s="73" t="s">
        <v>138</v>
      </c>
      <c r="C53" s="73">
        <f t="shared" si="0"/>
        <v>49</v>
      </c>
      <c r="D53" s="74" t="s">
        <v>139</v>
      </c>
      <c r="E53" s="73">
        <f t="shared" ref="E53" si="15">E52+1</f>
        <v>49</v>
      </c>
      <c r="F53" s="74" t="s">
        <v>744</v>
      </c>
      <c r="G53" s="73" t="s">
        <v>745</v>
      </c>
      <c r="H53" s="73" t="s">
        <v>27</v>
      </c>
      <c r="I53" s="73"/>
      <c r="J53" s="73" t="s">
        <v>746</v>
      </c>
      <c r="K53" s="74"/>
      <c r="L53" s="74" t="s">
        <v>612</v>
      </c>
      <c r="M53" s="73" t="s">
        <v>613</v>
      </c>
      <c r="N53" s="73" t="s">
        <v>747</v>
      </c>
    </row>
    <row r="54" spans="1:14" s="49" customFormat="1" ht="42">
      <c r="A54" s="73">
        <f t="shared" si="0"/>
        <v>50</v>
      </c>
      <c r="B54" s="73" t="s">
        <v>748</v>
      </c>
      <c r="C54" s="73">
        <f t="shared" si="0"/>
        <v>50</v>
      </c>
      <c r="D54" s="74" t="s">
        <v>749</v>
      </c>
      <c r="E54" s="73">
        <f t="shared" ref="E54" si="16">E53+1</f>
        <v>50</v>
      </c>
      <c r="F54" s="74" t="s">
        <v>750</v>
      </c>
      <c r="G54" s="73" t="s">
        <v>620</v>
      </c>
      <c r="H54" s="73" t="s">
        <v>27</v>
      </c>
      <c r="I54" s="73"/>
      <c r="J54" s="73" t="s">
        <v>751</v>
      </c>
      <c r="K54" s="74"/>
      <c r="L54" s="74" t="s">
        <v>612</v>
      </c>
      <c r="M54" s="73" t="s">
        <v>613</v>
      </c>
      <c r="N54" s="73" t="s">
        <v>623</v>
      </c>
    </row>
    <row r="55" spans="1:14" s="49" customFormat="1" ht="115.5">
      <c r="A55" s="73">
        <f t="shared" si="0"/>
        <v>51</v>
      </c>
      <c r="B55" s="73" t="s">
        <v>141</v>
      </c>
      <c r="C55" s="73">
        <f t="shared" si="0"/>
        <v>51</v>
      </c>
      <c r="D55" s="74" t="s">
        <v>752</v>
      </c>
      <c r="E55" s="73">
        <f t="shared" ref="E55" si="17">E54+1</f>
        <v>51</v>
      </c>
      <c r="F55" s="74" t="s">
        <v>753</v>
      </c>
      <c r="G55" s="73" t="s">
        <v>610</v>
      </c>
      <c r="H55" s="73" t="s">
        <v>27</v>
      </c>
      <c r="I55" s="73"/>
      <c r="J55" s="73" t="s">
        <v>754</v>
      </c>
      <c r="K55" s="74"/>
      <c r="L55" s="74" t="s">
        <v>612</v>
      </c>
      <c r="M55" s="73" t="s">
        <v>613</v>
      </c>
      <c r="N55" s="73" t="s">
        <v>614</v>
      </c>
    </row>
    <row r="56" spans="1:14" s="49" customFormat="1" ht="63">
      <c r="A56" s="73">
        <f t="shared" si="0"/>
        <v>52</v>
      </c>
      <c r="B56" s="73" t="s">
        <v>144</v>
      </c>
      <c r="C56" s="73">
        <f t="shared" si="0"/>
        <v>52</v>
      </c>
      <c r="D56" s="74" t="s">
        <v>145</v>
      </c>
      <c r="E56" s="73">
        <f t="shared" ref="E56" si="18">E55+1</f>
        <v>52</v>
      </c>
      <c r="F56" s="74" t="s">
        <v>755</v>
      </c>
      <c r="G56" s="73" t="s">
        <v>610</v>
      </c>
      <c r="H56" s="73" t="s">
        <v>27</v>
      </c>
      <c r="I56" s="73"/>
      <c r="J56" s="73" t="s">
        <v>756</v>
      </c>
      <c r="K56" s="74"/>
      <c r="L56" s="74" t="s">
        <v>612</v>
      </c>
      <c r="M56" s="73" t="s">
        <v>613</v>
      </c>
      <c r="N56" s="73" t="s">
        <v>614</v>
      </c>
    </row>
    <row r="57" spans="1:14" s="49" customFormat="1" ht="52.5">
      <c r="A57" s="73">
        <f t="shared" si="0"/>
        <v>53</v>
      </c>
      <c r="B57" s="73" t="s">
        <v>757</v>
      </c>
      <c r="C57" s="73">
        <f t="shared" si="0"/>
        <v>53</v>
      </c>
      <c r="D57" s="74" t="s">
        <v>758</v>
      </c>
      <c r="E57" s="73">
        <f t="shared" ref="E57" si="19">E56+1</f>
        <v>53</v>
      </c>
      <c r="F57" s="74" t="s">
        <v>759</v>
      </c>
      <c r="G57" s="73" t="s">
        <v>610</v>
      </c>
      <c r="H57" s="73" t="s">
        <v>27</v>
      </c>
      <c r="I57" s="73"/>
      <c r="J57" s="73" t="s">
        <v>760</v>
      </c>
      <c r="K57" s="74"/>
      <c r="L57" s="74" t="s">
        <v>612</v>
      </c>
      <c r="M57" s="73" t="s">
        <v>613</v>
      </c>
      <c r="N57" s="73" t="s">
        <v>614</v>
      </c>
    </row>
    <row r="58" spans="1:14" s="49" customFormat="1" ht="105">
      <c r="A58" s="73">
        <f t="shared" si="0"/>
        <v>54</v>
      </c>
      <c r="B58" s="73" t="s">
        <v>147</v>
      </c>
      <c r="C58" s="73">
        <f t="shared" si="0"/>
        <v>54</v>
      </c>
      <c r="D58" s="74" t="s">
        <v>148</v>
      </c>
      <c r="E58" s="73">
        <f t="shared" ref="E58" si="20">E57+1</f>
        <v>54</v>
      </c>
      <c r="F58" s="74" t="s">
        <v>761</v>
      </c>
      <c r="G58" s="73" t="s">
        <v>610</v>
      </c>
      <c r="H58" s="73" t="s">
        <v>27</v>
      </c>
      <c r="I58" s="73"/>
      <c r="J58" s="73" t="s">
        <v>762</v>
      </c>
      <c r="K58" s="74"/>
      <c r="L58" s="74" t="s">
        <v>612</v>
      </c>
      <c r="M58" s="73" t="s">
        <v>613</v>
      </c>
      <c r="N58" s="73" t="s">
        <v>614</v>
      </c>
    </row>
    <row r="59" spans="1:14" s="49" customFormat="1" ht="94.5">
      <c r="A59" s="73">
        <f t="shared" si="0"/>
        <v>55</v>
      </c>
      <c r="B59" s="73" t="s">
        <v>150</v>
      </c>
      <c r="C59" s="73">
        <f t="shared" si="0"/>
        <v>55</v>
      </c>
      <c r="D59" s="74" t="s">
        <v>151</v>
      </c>
      <c r="E59" s="73">
        <f t="shared" ref="E59" si="21">E58+1</f>
        <v>55</v>
      </c>
      <c r="F59" s="74" t="s">
        <v>763</v>
      </c>
      <c r="G59" s="73" t="s">
        <v>610</v>
      </c>
      <c r="H59" s="73" t="s">
        <v>20</v>
      </c>
      <c r="I59" s="73" t="s">
        <v>764</v>
      </c>
      <c r="J59" s="73" t="s">
        <v>765</v>
      </c>
      <c r="K59" s="74"/>
      <c r="L59" s="74" t="s">
        <v>612</v>
      </c>
      <c r="M59" s="73" t="s">
        <v>613</v>
      </c>
      <c r="N59" s="73" t="s">
        <v>614</v>
      </c>
    </row>
    <row r="60" spans="1:14" s="49" customFormat="1" ht="63">
      <c r="A60" s="73">
        <f t="shared" si="0"/>
        <v>56</v>
      </c>
      <c r="B60" s="73" t="s">
        <v>153</v>
      </c>
      <c r="C60" s="73">
        <f t="shared" si="0"/>
        <v>56</v>
      </c>
      <c r="D60" s="74" t="s">
        <v>154</v>
      </c>
      <c r="E60" s="73">
        <f t="shared" ref="E60" si="22">E59+1</f>
        <v>56</v>
      </c>
      <c r="F60" s="74" t="s">
        <v>766</v>
      </c>
      <c r="G60" s="73" t="s">
        <v>610</v>
      </c>
      <c r="H60" s="73" t="s">
        <v>27</v>
      </c>
      <c r="I60" s="73"/>
      <c r="J60" s="73" t="s">
        <v>767</v>
      </c>
      <c r="K60" s="74"/>
      <c r="L60" s="74" t="s">
        <v>612</v>
      </c>
      <c r="M60" s="73" t="s">
        <v>613</v>
      </c>
      <c r="N60" s="73" t="s">
        <v>614</v>
      </c>
    </row>
    <row r="61" spans="1:14" s="49" customFormat="1" ht="63">
      <c r="A61" s="73">
        <f t="shared" si="0"/>
        <v>57</v>
      </c>
      <c r="B61" s="73" t="s">
        <v>768</v>
      </c>
      <c r="C61" s="73">
        <f t="shared" si="0"/>
        <v>57</v>
      </c>
      <c r="D61" s="74" t="s">
        <v>769</v>
      </c>
      <c r="E61" s="73">
        <f t="shared" ref="E61" si="23">E60+1</f>
        <v>57</v>
      </c>
      <c r="F61" s="74" t="s">
        <v>770</v>
      </c>
      <c r="G61" s="73" t="s">
        <v>610</v>
      </c>
      <c r="H61" s="73" t="s">
        <v>27</v>
      </c>
      <c r="I61" s="73"/>
      <c r="J61" s="73" t="s">
        <v>771</v>
      </c>
      <c r="K61" s="74"/>
      <c r="L61" s="74" t="s">
        <v>612</v>
      </c>
      <c r="M61" s="73" t="s">
        <v>613</v>
      </c>
      <c r="N61" s="73" t="s">
        <v>614</v>
      </c>
    </row>
    <row r="62" spans="1:14" s="49" customFormat="1" ht="73.5">
      <c r="A62" s="73">
        <f t="shared" si="0"/>
        <v>58</v>
      </c>
      <c r="B62" s="73" t="s">
        <v>156</v>
      </c>
      <c r="C62" s="73">
        <f t="shared" si="0"/>
        <v>58</v>
      </c>
      <c r="D62" s="74" t="s">
        <v>157</v>
      </c>
      <c r="E62" s="73">
        <f t="shared" ref="E62" si="24">E61+1</f>
        <v>58</v>
      </c>
      <c r="F62" s="74" t="s">
        <v>772</v>
      </c>
      <c r="G62" s="78" t="s">
        <v>610</v>
      </c>
      <c r="H62" s="73" t="s">
        <v>27</v>
      </c>
      <c r="I62" s="73"/>
      <c r="J62" s="74" t="s">
        <v>773</v>
      </c>
      <c r="K62" s="74"/>
      <c r="L62" s="74" t="s">
        <v>612</v>
      </c>
      <c r="M62" s="73" t="s">
        <v>613</v>
      </c>
      <c r="N62" s="78" t="s">
        <v>623</v>
      </c>
    </row>
    <row r="63" spans="1:14" s="49" customFormat="1" ht="73.5">
      <c r="A63" s="73">
        <f t="shared" si="0"/>
        <v>59</v>
      </c>
      <c r="B63" s="73" t="s">
        <v>159</v>
      </c>
      <c r="C63" s="73">
        <f t="shared" si="0"/>
        <v>59</v>
      </c>
      <c r="D63" s="74" t="s">
        <v>160</v>
      </c>
      <c r="E63" s="73">
        <f t="shared" ref="E63" si="25">E62+1</f>
        <v>59</v>
      </c>
      <c r="F63" s="74" t="s">
        <v>774</v>
      </c>
      <c r="G63" s="78" t="s">
        <v>635</v>
      </c>
      <c r="H63" s="73" t="s">
        <v>27</v>
      </c>
      <c r="I63" s="73"/>
      <c r="J63" s="74" t="s">
        <v>775</v>
      </c>
      <c r="K63" s="74"/>
      <c r="L63" s="74" t="s">
        <v>612</v>
      </c>
      <c r="M63" s="73" t="s">
        <v>613</v>
      </c>
      <c r="N63" s="78" t="s">
        <v>637</v>
      </c>
    </row>
    <row r="64" spans="1:14" s="49" customFormat="1" ht="73.5">
      <c r="A64" s="73">
        <f t="shared" si="0"/>
        <v>60</v>
      </c>
      <c r="B64" s="73" t="s">
        <v>162</v>
      </c>
      <c r="C64" s="73">
        <f t="shared" si="0"/>
        <v>60</v>
      </c>
      <c r="D64" s="74" t="s">
        <v>163</v>
      </c>
      <c r="E64" s="73">
        <f t="shared" ref="E64" si="26">E63+1</f>
        <v>60</v>
      </c>
      <c r="F64" s="74" t="s">
        <v>776</v>
      </c>
      <c r="G64" s="78" t="s">
        <v>635</v>
      </c>
      <c r="H64" s="73" t="s">
        <v>27</v>
      </c>
      <c r="I64" s="73"/>
      <c r="J64" s="74" t="s">
        <v>777</v>
      </c>
      <c r="K64" s="74"/>
      <c r="L64" s="74" t="s">
        <v>612</v>
      </c>
      <c r="M64" s="73" t="s">
        <v>613</v>
      </c>
      <c r="N64" s="78" t="s">
        <v>637</v>
      </c>
    </row>
    <row r="65" spans="1:14" s="49" customFormat="1" ht="73.5">
      <c r="A65" s="73">
        <f t="shared" si="0"/>
        <v>61</v>
      </c>
      <c r="B65" s="73" t="s">
        <v>165</v>
      </c>
      <c r="C65" s="73">
        <f t="shared" si="0"/>
        <v>61</v>
      </c>
      <c r="D65" s="74" t="s">
        <v>166</v>
      </c>
      <c r="E65" s="73">
        <f t="shared" ref="E65" si="27">E64+1</f>
        <v>61</v>
      </c>
      <c r="F65" s="74" t="s">
        <v>778</v>
      </c>
      <c r="G65" s="78" t="s">
        <v>635</v>
      </c>
      <c r="H65" s="73" t="s">
        <v>27</v>
      </c>
      <c r="I65" s="73"/>
      <c r="J65" s="74" t="s">
        <v>779</v>
      </c>
      <c r="K65" s="74"/>
      <c r="L65" s="74" t="s">
        <v>612</v>
      </c>
      <c r="M65" s="73" t="s">
        <v>613</v>
      </c>
      <c r="N65" s="78" t="s">
        <v>637</v>
      </c>
    </row>
    <row r="66" spans="1:14" s="49" customFormat="1" ht="73.5">
      <c r="A66" s="73">
        <f t="shared" si="0"/>
        <v>62</v>
      </c>
      <c r="B66" s="73" t="s">
        <v>780</v>
      </c>
      <c r="C66" s="73">
        <f t="shared" si="0"/>
        <v>62</v>
      </c>
      <c r="D66" s="74" t="s">
        <v>781</v>
      </c>
      <c r="E66" s="73">
        <f t="shared" ref="E66" si="28">E65+1</f>
        <v>62</v>
      </c>
      <c r="F66" s="74" t="s">
        <v>782</v>
      </c>
      <c r="G66" s="78" t="s">
        <v>635</v>
      </c>
      <c r="H66" s="73" t="s">
        <v>27</v>
      </c>
      <c r="I66" s="73"/>
      <c r="J66" s="74" t="s">
        <v>783</v>
      </c>
      <c r="K66" s="74"/>
      <c r="L66" s="74" t="s">
        <v>612</v>
      </c>
      <c r="M66" s="73" t="s">
        <v>613</v>
      </c>
      <c r="N66" s="78" t="s">
        <v>637</v>
      </c>
    </row>
    <row r="67" spans="1:14" s="49" customFormat="1" ht="73.5">
      <c r="A67" s="73">
        <f t="shared" si="0"/>
        <v>63</v>
      </c>
      <c r="B67" s="73" t="s">
        <v>784</v>
      </c>
      <c r="C67" s="73">
        <f t="shared" si="0"/>
        <v>63</v>
      </c>
      <c r="D67" s="74" t="s">
        <v>785</v>
      </c>
      <c r="E67" s="73">
        <f t="shared" ref="E67" si="29">E66+1</f>
        <v>63</v>
      </c>
      <c r="F67" s="74" t="s">
        <v>786</v>
      </c>
      <c r="G67" s="78" t="s">
        <v>635</v>
      </c>
      <c r="H67" s="73" t="s">
        <v>27</v>
      </c>
      <c r="I67" s="73"/>
      <c r="J67" s="74" t="s">
        <v>787</v>
      </c>
      <c r="K67" s="74"/>
      <c r="L67" s="74" t="s">
        <v>612</v>
      </c>
      <c r="M67" s="73" t="s">
        <v>613</v>
      </c>
      <c r="N67" s="78" t="s">
        <v>637</v>
      </c>
    </row>
    <row r="68" spans="1:14" s="49" customFormat="1" ht="73.5">
      <c r="A68" s="73">
        <f t="shared" si="0"/>
        <v>64</v>
      </c>
      <c r="B68" s="73" t="s">
        <v>168</v>
      </c>
      <c r="C68" s="73">
        <f t="shared" si="0"/>
        <v>64</v>
      </c>
      <c r="D68" s="74" t="s">
        <v>169</v>
      </c>
      <c r="E68" s="73">
        <f t="shared" ref="E68" si="30">E67+1</f>
        <v>64</v>
      </c>
      <c r="F68" s="74" t="s">
        <v>788</v>
      </c>
      <c r="G68" s="78" t="s">
        <v>610</v>
      </c>
      <c r="H68" s="73" t="s">
        <v>27</v>
      </c>
      <c r="I68" s="73"/>
      <c r="J68" s="74" t="s">
        <v>789</v>
      </c>
      <c r="K68" s="74"/>
      <c r="L68" s="74" t="s">
        <v>612</v>
      </c>
      <c r="M68" s="73" t="s">
        <v>613</v>
      </c>
      <c r="N68" s="78" t="s">
        <v>623</v>
      </c>
    </row>
    <row r="69" spans="1:14" s="49" customFormat="1" ht="73.5">
      <c r="A69" s="73">
        <f t="shared" si="0"/>
        <v>65</v>
      </c>
      <c r="B69" s="73" t="s">
        <v>790</v>
      </c>
      <c r="C69" s="73">
        <f t="shared" si="0"/>
        <v>65</v>
      </c>
      <c r="D69" s="74" t="s">
        <v>791</v>
      </c>
      <c r="E69" s="73">
        <f t="shared" ref="E69" si="31">E68+1</f>
        <v>65</v>
      </c>
      <c r="F69" s="74" t="s">
        <v>792</v>
      </c>
      <c r="G69" s="78" t="s">
        <v>610</v>
      </c>
      <c r="H69" s="73" t="s">
        <v>27</v>
      </c>
      <c r="I69" s="73"/>
      <c r="J69" s="74" t="s">
        <v>793</v>
      </c>
      <c r="K69" s="74"/>
      <c r="L69" s="74" t="s">
        <v>612</v>
      </c>
      <c r="M69" s="73" t="s">
        <v>613</v>
      </c>
      <c r="N69" s="78" t="s">
        <v>623</v>
      </c>
    </row>
    <row r="70" spans="1:14" s="49" customFormat="1" ht="73.5">
      <c r="A70" s="73">
        <f t="shared" si="0"/>
        <v>66</v>
      </c>
      <c r="B70" s="73" t="s">
        <v>171</v>
      </c>
      <c r="C70" s="73">
        <f t="shared" si="0"/>
        <v>66</v>
      </c>
      <c r="D70" s="74" t="s">
        <v>172</v>
      </c>
      <c r="E70" s="73">
        <f t="shared" ref="E70" si="32">E69+1</f>
        <v>66</v>
      </c>
      <c r="F70" s="74" t="s">
        <v>794</v>
      </c>
      <c r="G70" s="78" t="s">
        <v>610</v>
      </c>
      <c r="H70" s="73" t="s">
        <v>27</v>
      </c>
      <c r="I70" s="73"/>
      <c r="J70" s="74" t="s">
        <v>795</v>
      </c>
      <c r="K70" s="74"/>
      <c r="L70" s="74" t="s">
        <v>612</v>
      </c>
      <c r="M70" s="73" t="s">
        <v>613</v>
      </c>
      <c r="N70" s="78" t="s">
        <v>623</v>
      </c>
    </row>
    <row r="71" spans="1:14" s="49" customFormat="1" ht="73.5">
      <c r="A71" s="73">
        <f t="shared" si="0"/>
        <v>67</v>
      </c>
      <c r="B71" s="73" t="s">
        <v>174</v>
      </c>
      <c r="C71" s="73">
        <f t="shared" si="0"/>
        <v>67</v>
      </c>
      <c r="D71" s="74" t="s">
        <v>175</v>
      </c>
      <c r="E71" s="73">
        <f t="shared" ref="E71" si="33">E70+1</f>
        <v>67</v>
      </c>
      <c r="F71" s="74" t="s">
        <v>796</v>
      </c>
      <c r="G71" s="78" t="s">
        <v>610</v>
      </c>
      <c r="H71" s="73" t="s">
        <v>27</v>
      </c>
      <c r="I71" s="73"/>
      <c r="J71" s="74" t="s">
        <v>797</v>
      </c>
      <c r="K71" s="74"/>
      <c r="L71" s="74" t="s">
        <v>612</v>
      </c>
      <c r="M71" s="73" t="s">
        <v>613</v>
      </c>
      <c r="N71" s="78" t="s">
        <v>623</v>
      </c>
    </row>
    <row r="72" spans="1:14" s="49" customFormat="1" ht="73.5">
      <c r="A72" s="73">
        <f t="shared" si="0"/>
        <v>68</v>
      </c>
      <c r="B72" s="73" t="s">
        <v>177</v>
      </c>
      <c r="C72" s="73">
        <f t="shared" si="0"/>
        <v>68</v>
      </c>
      <c r="D72" s="74" t="s">
        <v>178</v>
      </c>
      <c r="E72" s="73">
        <f t="shared" ref="E72" si="34">E71+1</f>
        <v>68</v>
      </c>
      <c r="F72" s="74" t="s">
        <v>798</v>
      </c>
      <c r="G72" s="78" t="s">
        <v>610</v>
      </c>
      <c r="H72" s="73" t="s">
        <v>27</v>
      </c>
      <c r="I72" s="73"/>
      <c r="J72" s="74" t="s">
        <v>799</v>
      </c>
      <c r="K72" s="74"/>
      <c r="L72" s="74" t="s">
        <v>612</v>
      </c>
      <c r="M72" s="73" t="s">
        <v>613</v>
      </c>
      <c r="N72" s="78" t="s">
        <v>623</v>
      </c>
    </row>
    <row r="73" spans="1:14" s="49" customFormat="1" ht="84">
      <c r="A73" s="73">
        <f t="shared" si="0"/>
        <v>69</v>
      </c>
      <c r="B73" s="73" t="s">
        <v>180</v>
      </c>
      <c r="C73" s="73">
        <f t="shared" si="0"/>
        <v>69</v>
      </c>
      <c r="D73" s="73" t="s">
        <v>181</v>
      </c>
      <c r="E73" s="73">
        <f t="shared" ref="E73" si="35">E72+1</f>
        <v>69</v>
      </c>
      <c r="F73" s="74" t="s">
        <v>800</v>
      </c>
      <c r="G73" s="73" t="s">
        <v>610</v>
      </c>
      <c r="H73" s="73" t="s">
        <v>20</v>
      </c>
      <c r="I73" s="73"/>
      <c r="J73" s="80" t="s">
        <v>801</v>
      </c>
      <c r="K73" s="73"/>
      <c r="L73" s="74" t="s">
        <v>612</v>
      </c>
      <c r="M73" s="73" t="s">
        <v>613</v>
      </c>
      <c r="N73" s="73" t="s">
        <v>614</v>
      </c>
    </row>
    <row r="74" spans="1:14" s="49" customFormat="1" ht="73.5">
      <c r="A74" s="73">
        <f t="shared" si="0"/>
        <v>70</v>
      </c>
      <c r="B74" s="73" t="s">
        <v>183</v>
      </c>
      <c r="C74" s="73">
        <f t="shared" si="0"/>
        <v>70</v>
      </c>
      <c r="D74" s="74" t="s">
        <v>184</v>
      </c>
      <c r="E74" s="73">
        <f t="shared" ref="E74" si="36">E73+1</f>
        <v>70</v>
      </c>
      <c r="F74" s="74" t="s">
        <v>802</v>
      </c>
      <c r="G74" s="78" t="s">
        <v>610</v>
      </c>
      <c r="H74" s="73" t="s">
        <v>27</v>
      </c>
      <c r="I74" s="73"/>
      <c r="J74" s="74" t="s">
        <v>803</v>
      </c>
      <c r="K74" s="74"/>
      <c r="L74" s="74" t="s">
        <v>612</v>
      </c>
      <c r="M74" s="73" t="s">
        <v>613</v>
      </c>
      <c r="N74" s="78" t="s">
        <v>623</v>
      </c>
    </row>
    <row r="75" spans="1:14" s="49" customFormat="1" ht="73.5">
      <c r="A75" s="73">
        <f t="shared" si="0"/>
        <v>71</v>
      </c>
      <c r="B75" s="73" t="s">
        <v>186</v>
      </c>
      <c r="C75" s="73">
        <f t="shared" si="0"/>
        <v>71</v>
      </c>
      <c r="D75" s="74" t="s">
        <v>187</v>
      </c>
      <c r="E75" s="73">
        <f t="shared" ref="E75" si="37">E74+1</f>
        <v>71</v>
      </c>
      <c r="F75" s="74" t="s">
        <v>804</v>
      </c>
      <c r="G75" s="78" t="s">
        <v>635</v>
      </c>
      <c r="H75" s="73" t="s">
        <v>27</v>
      </c>
      <c r="I75" s="73"/>
      <c r="J75" s="74" t="s">
        <v>805</v>
      </c>
      <c r="K75" s="74"/>
      <c r="L75" s="74" t="s">
        <v>612</v>
      </c>
      <c r="M75" s="73" t="s">
        <v>613</v>
      </c>
      <c r="N75" s="78" t="s">
        <v>637</v>
      </c>
    </row>
    <row r="76" spans="1:14" s="49" customFormat="1" ht="73.5">
      <c r="A76" s="73">
        <f t="shared" si="0"/>
        <v>72</v>
      </c>
      <c r="B76" s="73" t="s">
        <v>189</v>
      </c>
      <c r="C76" s="73">
        <f t="shared" si="0"/>
        <v>72</v>
      </c>
      <c r="D76" s="74" t="s">
        <v>190</v>
      </c>
      <c r="E76" s="73">
        <f t="shared" ref="E76" si="38">E75+1</f>
        <v>72</v>
      </c>
      <c r="F76" s="74" t="s">
        <v>806</v>
      </c>
      <c r="G76" s="78" t="s">
        <v>635</v>
      </c>
      <c r="H76" s="73" t="s">
        <v>27</v>
      </c>
      <c r="I76" s="73"/>
      <c r="J76" s="74" t="s">
        <v>807</v>
      </c>
      <c r="K76" s="74"/>
      <c r="L76" s="74" t="s">
        <v>612</v>
      </c>
      <c r="M76" s="73" t="s">
        <v>613</v>
      </c>
      <c r="N76" s="78" t="s">
        <v>637</v>
      </c>
    </row>
    <row r="77" spans="1:14" s="49" customFormat="1" ht="73.5">
      <c r="A77" s="73">
        <f t="shared" si="0"/>
        <v>73</v>
      </c>
      <c r="B77" s="73" t="s">
        <v>192</v>
      </c>
      <c r="C77" s="73">
        <f t="shared" si="0"/>
        <v>73</v>
      </c>
      <c r="D77" s="74" t="s">
        <v>193</v>
      </c>
      <c r="E77" s="73">
        <f t="shared" ref="E77" si="39">E76+1</f>
        <v>73</v>
      </c>
      <c r="F77" s="74" t="s">
        <v>808</v>
      </c>
      <c r="G77" s="78" t="s">
        <v>635</v>
      </c>
      <c r="H77" s="73" t="s">
        <v>27</v>
      </c>
      <c r="I77" s="73"/>
      <c r="J77" s="74" t="s">
        <v>809</v>
      </c>
      <c r="K77" s="74"/>
      <c r="L77" s="74" t="s">
        <v>612</v>
      </c>
      <c r="M77" s="73" t="s">
        <v>613</v>
      </c>
      <c r="N77" s="78" t="s">
        <v>637</v>
      </c>
    </row>
    <row r="78" spans="1:14" s="49" customFormat="1" ht="73.5">
      <c r="A78" s="73">
        <f t="shared" si="0"/>
        <v>74</v>
      </c>
      <c r="B78" s="73" t="s">
        <v>810</v>
      </c>
      <c r="C78" s="73">
        <f t="shared" si="0"/>
        <v>74</v>
      </c>
      <c r="D78" s="74" t="s">
        <v>811</v>
      </c>
      <c r="E78" s="73">
        <f t="shared" ref="E78" si="40">E77+1</f>
        <v>74</v>
      </c>
      <c r="F78" s="74" t="s">
        <v>812</v>
      </c>
      <c r="G78" s="78" t="s">
        <v>635</v>
      </c>
      <c r="H78" s="73" t="s">
        <v>27</v>
      </c>
      <c r="I78" s="73"/>
      <c r="J78" s="74" t="s">
        <v>813</v>
      </c>
      <c r="K78" s="74"/>
      <c r="L78" s="74" t="s">
        <v>612</v>
      </c>
      <c r="M78" s="73" t="s">
        <v>613</v>
      </c>
      <c r="N78" s="78" t="s">
        <v>637</v>
      </c>
    </row>
    <row r="79" spans="1:14" s="49" customFormat="1" ht="73.5">
      <c r="A79" s="73">
        <f t="shared" si="0"/>
        <v>75</v>
      </c>
      <c r="B79" s="73" t="s">
        <v>814</v>
      </c>
      <c r="C79" s="73">
        <f t="shared" si="0"/>
        <v>75</v>
      </c>
      <c r="D79" s="74" t="s">
        <v>815</v>
      </c>
      <c r="E79" s="73">
        <f t="shared" ref="E79" si="41">E78+1</f>
        <v>75</v>
      </c>
      <c r="F79" s="74" t="s">
        <v>816</v>
      </c>
      <c r="G79" s="78" t="s">
        <v>635</v>
      </c>
      <c r="H79" s="73" t="s">
        <v>27</v>
      </c>
      <c r="I79" s="73"/>
      <c r="J79" s="74" t="s">
        <v>817</v>
      </c>
      <c r="K79" s="74"/>
      <c r="L79" s="74" t="s">
        <v>612</v>
      </c>
      <c r="M79" s="73" t="s">
        <v>613</v>
      </c>
      <c r="N79" s="78" t="s">
        <v>637</v>
      </c>
    </row>
    <row r="80" spans="1:14" s="49" customFormat="1" ht="73.5">
      <c r="A80" s="73">
        <f t="shared" si="0"/>
        <v>76</v>
      </c>
      <c r="B80" s="73" t="s">
        <v>195</v>
      </c>
      <c r="C80" s="73">
        <f t="shared" si="0"/>
        <v>76</v>
      </c>
      <c r="D80" s="74" t="s">
        <v>196</v>
      </c>
      <c r="E80" s="73">
        <f t="shared" ref="E80" si="42">E79+1</f>
        <v>76</v>
      </c>
      <c r="F80" s="74" t="s">
        <v>818</v>
      </c>
      <c r="G80" s="78" t="s">
        <v>610</v>
      </c>
      <c r="H80" s="73" t="s">
        <v>27</v>
      </c>
      <c r="I80" s="73"/>
      <c r="J80" s="74" t="s">
        <v>819</v>
      </c>
      <c r="K80" s="74"/>
      <c r="L80" s="74" t="s">
        <v>612</v>
      </c>
      <c r="M80" s="73" t="s">
        <v>613</v>
      </c>
      <c r="N80" s="78" t="s">
        <v>623</v>
      </c>
    </row>
    <row r="81" spans="1:14" s="49" customFormat="1" ht="73.5">
      <c r="A81" s="73">
        <f t="shared" si="0"/>
        <v>77</v>
      </c>
      <c r="B81" s="73" t="s">
        <v>820</v>
      </c>
      <c r="C81" s="73">
        <f t="shared" si="0"/>
        <v>77</v>
      </c>
      <c r="D81" s="74" t="s">
        <v>821</v>
      </c>
      <c r="E81" s="73">
        <f t="shared" ref="E81" si="43">E80+1</f>
        <v>77</v>
      </c>
      <c r="F81" s="74" t="s">
        <v>822</v>
      </c>
      <c r="G81" s="78" t="s">
        <v>610</v>
      </c>
      <c r="H81" s="73" t="s">
        <v>27</v>
      </c>
      <c r="I81" s="73"/>
      <c r="J81" s="74" t="s">
        <v>823</v>
      </c>
      <c r="K81" s="74"/>
      <c r="L81" s="74" t="s">
        <v>612</v>
      </c>
      <c r="M81" s="73" t="s">
        <v>613</v>
      </c>
      <c r="N81" s="78" t="s">
        <v>623</v>
      </c>
    </row>
    <row r="82" spans="1:14" s="49" customFormat="1" ht="73.5">
      <c r="A82" s="73">
        <f t="shared" si="0"/>
        <v>78</v>
      </c>
      <c r="B82" s="73" t="s">
        <v>198</v>
      </c>
      <c r="C82" s="73">
        <f t="shared" si="0"/>
        <v>78</v>
      </c>
      <c r="D82" s="74" t="s">
        <v>199</v>
      </c>
      <c r="E82" s="73">
        <f t="shared" ref="E82" si="44">E81+1</f>
        <v>78</v>
      </c>
      <c r="F82" s="74" t="s">
        <v>824</v>
      </c>
      <c r="G82" s="78" t="s">
        <v>610</v>
      </c>
      <c r="H82" s="73" t="s">
        <v>27</v>
      </c>
      <c r="I82" s="73"/>
      <c r="J82" s="74" t="s">
        <v>825</v>
      </c>
      <c r="K82" s="74"/>
      <c r="L82" s="74" t="s">
        <v>612</v>
      </c>
      <c r="M82" s="73" t="s">
        <v>613</v>
      </c>
      <c r="N82" s="78" t="s">
        <v>623</v>
      </c>
    </row>
    <row r="83" spans="1:14" s="49" customFormat="1" ht="73.5">
      <c r="A83" s="73">
        <f t="shared" si="0"/>
        <v>79</v>
      </c>
      <c r="B83" s="73" t="s">
        <v>201</v>
      </c>
      <c r="C83" s="73">
        <f t="shared" si="0"/>
        <v>79</v>
      </c>
      <c r="D83" s="74" t="s">
        <v>202</v>
      </c>
      <c r="E83" s="73">
        <f t="shared" ref="E83" si="45">E82+1</f>
        <v>79</v>
      </c>
      <c r="F83" s="74" t="s">
        <v>826</v>
      </c>
      <c r="G83" s="78" t="s">
        <v>610</v>
      </c>
      <c r="H83" s="73" t="s">
        <v>27</v>
      </c>
      <c r="I83" s="73"/>
      <c r="J83" s="74" t="s">
        <v>827</v>
      </c>
      <c r="K83" s="74"/>
      <c r="L83" s="74" t="s">
        <v>612</v>
      </c>
      <c r="M83" s="73" t="s">
        <v>613</v>
      </c>
      <c r="N83" s="78" t="s">
        <v>623</v>
      </c>
    </row>
    <row r="84" spans="1:14" s="49" customFormat="1" ht="73.5">
      <c r="A84" s="73">
        <f t="shared" si="0"/>
        <v>80</v>
      </c>
      <c r="B84" s="73" t="s">
        <v>204</v>
      </c>
      <c r="C84" s="73">
        <f t="shared" si="0"/>
        <v>80</v>
      </c>
      <c r="D84" s="74" t="s">
        <v>205</v>
      </c>
      <c r="E84" s="73">
        <f t="shared" ref="E84" si="46">E83+1</f>
        <v>80</v>
      </c>
      <c r="F84" s="74" t="s">
        <v>828</v>
      </c>
      <c r="G84" s="78" t="s">
        <v>610</v>
      </c>
      <c r="H84" s="73" t="s">
        <v>27</v>
      </c>
      <c r="I84" s="73"/>
      <c r="J84" s="74" t="s">
        <v>829</v>
      </c>
      <c r="K84" s="74"/>
      <c r="L84" s="74" t="s">
        <v>612</v>
      </c>
      <c r="M84" s="73" t="s">
        <v>613</v>
      </c>
      <c r="N84" s="78" t="s">
        <v>623</v>
      </c>
    </row>
    <row r="85" spans="1:14" s="49" customFormat="1" ht="52.5">
      <c r="A85" s="73">
        <f t="shared" si="0"/>
        <v>81</v>
      </c>
      <c r="B85" s="73" t="s">
        <v>207</v>
      </c>
      <c r="C85" s="73">
        <f t="shared" si="0"/>
        <v>81</v>
      </c>
      <c r="D85" s="79" t="s">
        <v>208</v>
      </c>
      <c r="E85" s="73">
        <f t="shared" ref="E85" si="47">E84+1</f>
        <v>81</v>
      </c>
      <c r="F85" s="74" t="s">
        <v>830</v>
      </c>
      <c r="G85" s="73" t="s">
        <v>610</v>
      </c>
      <c r="H85" s="73" t="s">
        <v>27</v>
      </c>
      <c r="I85" s="73"/>
      <c r="J85" s="79" t="s">
        <v>831</v>
      </c>
      <c r="K85" s="79"/>
      <c r="L85" s="74" t="s">
        <v>612</v>
      </c>
      <c r="M85" s="73" t="s">
        <v>613</v>
      </c>
      <c r="N85" s="73" t="s">
        <v>614</v>
      </c>
    </row>
    <row r="86" spans="1:14" s="49" customFormat="1" ht="73.5">
      <c r="A86" s="73">
        <f t="shared" si="0"/>
        <v>82</v>
      </c>
      <c r="B86" s="80" t="s">
        <v>210</v>
      </c>
      <c r="C86" s="73">
        <f t="shared" si="0"/>
        <v>82</v>
      </c>
      <c r="D86" s="74" t="s">
        <v>211</v>
      </c>
      <c r="E86" s="73">
        <f t="shared" ref="E86" si="48">E85+1</f>
        <v>82</v>
      </c>
      <c r="F86" s="74" t="s">
        <v>832</v>
      </c>
      <c r="G86" s="78" t="s">
        <v>610</v>
      </c>
      <c r="H86" s="73" t="s">
        <v>27</v>
      </c>
      <c r="I86" s="73"/>
      <c r="J86" s="74" t="s">
        <v>833</v>
      </c>
      <c r="K86" s="74"/>
      <c r="L86" s="74" t="s">
        <v>612</v>
      </c>
      <c r="M86" s="73" t="s">
        <v>613</v>
      </c>
      <c r="N86" s="78" t="s">
        <v>623</v>
      </c>
    </row>
    <row r="87" spans="1:14" s="49" customFormat="1" ht="73.5">
      <c r="A87" s="73">
        <f t="shared" si="0"/>
        <v>83</v>
      </c>
      <c r="B87" s="80" t="s">
        <v>213</v>
      </c>
      <c r="C87" s="73">
        <f t="shared" si="0"/>
        <v>83</v>
      </c>
      <c r="D87" s="74" t="s">
        <v>214</v>
      </c>
      <c r="E87" s="73">
        <f t="shared" ref="E87" si="49">E86+1</f>
        <v>83</v>
      </c>
      <c r="F87" s="74" t="s">
        <v>834</v>
      </c>
      <c r="G87" s="78" t="s">
        <v>635</v>
      </c>
      <c r="H87" s="73" t="s">
        <v>27</v>
      </c>
      <c r="I87" s="73"/>
      <c r="J87" s="74" t="s">
        <v>835</v>
      </c>
      <c r="K87" s="74"/>
      <c r="L87" s="74" t="s">
        <v>612</v>
      </c>
      <c r="M87" s="73" t="s">
        <v>613</v>
      </c>
      <c r="N87" s="78" t="s">
        <v>637</v>
      </c>
    </row>
    <row r="88" spans="1:14" s="49" customFormat="1" ht="73.5">
      <c r="A88" s="73">
        <f t="shared" si="0"/>
        <v>84</v>
      </c>
      <c r="B88" s="80" t="s">
        <v>216</v>
      </c>
      <c r="C88" s="73">
        <f t="shared" si="0"/>
        <v>84</v>
      </c>
      <c r="D88" s="74" t="s">
        <v>217</v>
      </c>
      <c r="E88" s="73">
        <f t="shared" ref="E88" si="50">E87+1</f>
        <v>84</v>
      </c>
      <c r="F88" s="74" t="s">
        <v>836</v>
      </c>
      <c r="G88" s="78" t="s">
        <v>635</v>
      </c>
      <c r="H88" s="73" t="s">
        <v>27</v>
      </c>
      <c r="I88" s="73"/>
      <c r="J88" s="74" t="s">
        <v>837</v>
      </c>
      <c r="K88" s="74"/>
      <c r="L88" s="74" t="s">
        <v>612</v>
      </c>
      <c r="M88" s="73" t="s">
        <v>613</v>
      </c>
      <c r="N88" s="78" t="s">
        <v>637</v>
      </c>
    </row>
    <row r="89" spans="1:14" s="49" customFormat="1" ht="73.5">
      <c r="A89" s="73">
        <f t="shared" si="0"/>
        <v>85</v>
      </c>
      <c r="B89" s="80" t="s">
        <v>219</v>
      </c>
      <c r="C89" s="73">
        <f t="shared" si="0"/>
        <v>85</v>
      </c>
      <c r="D89" s="74" t="s">
        <v>220</v>
      </c>
      <c r="E89" s="73">
        <f t="shared" ref="E89" si="51">E88+1</f>
        <v>85</v>
      </c>
      <c r="F89" s="74" t="s">
        <v>838</v>
      </c>
      <c r="G89" s="78" t="s">
        <v>635</v>
      </c>
      <c r="H89" s="73" t="s">
        <v>27</v>
      </c>
      <c r="I89" s="73"/>
      <c r="J89" s="74" t="s">
        <v>839</v>
      </c>
      <c r="K89" s="74"/>
      <c r="L89" s="74" t="s">
        <v>612</v>
      </c>
      <c r="M89" s="73" t="s">
        <v>613</v>
      </c>
      <c r="N89" s="78" t="s">
        <v>637</v>
      </c>
    </row>
    <row r="90" spans="1:14" s="49" customFormat="1" ht="73.5">
      <c r="A90" s="73">
        <f t="shared" si="0"/>
        <v>86</v>
      </c>
      <c r="B90" s="80" t="s">
        <v>840</v>
      </c>
      <c r="C90" s="73">
        <f t="shared" si="0"/>
        <v>86</v>
      </c>
      <c r="D90" s="74" t="s">
        <v>841</v>
      </c>
      <c r="E90" s="73">
        <f t="shared" ref="E90" si="52">E89+1</f>
        <v>86</v>
      </c>
      <c r="F90" s="74" t="s">
        <v>842</v>
      </c>
      <c r="G90" s="78" t="s">
        <v>635</v>
      </c>
      <c r="H90" s="73" t="s">
        <v>27</v>
      </c>
      <c r="I90" s="73"/>
      <c r="J90" s="74" t="s">
        <v>843</v>
      </c>
      <c r="K90" s="74"/>
      <c r="L90" s="74" t="s">
        <v>612</v>
      </c>
      <c r="M90" s="73" t="s">
        <v>613</v>
      </c>
      <c r="N90" s="78" t="s">
        <v>637</v>
      </c>
    </row>
    <row r="91" spans="1:14" s="49" customFormat="1" ht="73.5">
      <c r="A91" s="73">
        <f t="shared" si="0"/>
        <v>87</v>
      </c>
      <c r="B91" s="80" t="s">
        <v>844</v>
      </c>
      <c r="C91" s="73">
        <f t="shared" si="0"/>
        <v>87</v>
      </c>
      <c r="D91" s="74" t="s">
        <v>845</v>
      </c>
      <c r="E91" s="73">
        <f t="shared" ref="E91" si="53">E90+1</f>
        <v>87</v>
      </c>
      <c r="F91" s="74" t="s">
        <v>846</v>
      </c>
      <c r="G91" s="78" t="s">
        <v>635</v>
      </c>
      <c r="H91" s="73" t="s">
        <v>27</v>
      </c>
      <c r="I91" s="73"/>
      <c r="J91" s="74" t="s">
        <v>847</v>
      </c>
      <c r="K91" s="74"/>
      <c r="L91" s="74" t="s">
        <v>612</v>
      </c>
      <c r="M91" s="73" t="s">
        <v>613</v>
      </c>
      <c r="N91" s="78" t="s">
        <v>637</v>
      </c>
    </row>
    <row r="92" spans="1:14" s="49" customFormat="1" ht="73.5">
      <c r="A92" s="73">
        <f t="shared" si="0"/>
        <v>88</v>
      </c>
      <c r="B92" s="80" t="s">
        <v>222</v>
      </c>
      <c r="C92" s="73">
        <f t="shared" si="0"/>
        <v>88</v>
      </c>
      <c r="D92" s="74" t="s">
        <v>223</v>
      </c>
      <c r="E92" s="73">
        <f t="shared" ref="E92" si="54">E91+1</f>
        <v>88</v>
      </c>
      <c r="F92" s="74" t="s">
        <v>848</v>
      </c>
      <c r="G92" s="78" t="s">
        <v>610</v>
      </c>
      <c r="H92" s="73" t="s">
        <v>27</v>
      </c>
      <c r="I92" s="73"/>
      <c r="J92" s="74" t="s">
        <v>849</v>
      </c>
      <c r="K92" s="74"/>
      <c r="L92" s="74" t="s">
        <v>612</v>
      </c>
      <c r="M92" s="73" t="s">
        <v>613</v>
      </c>
      <c r="N92" s="78" t="s">
        <v>623</v>
      </c>
    </row>
    <row r="93" spans="1:14" s="49" customFormat="1" ht="73.5">
      <c r="A93" s="73">
        <f t="shared" si="0"/>
        <v>89</v>
      </c>
      <c r="B93" s="80" t="s">
        <v>850</v>
      </c>
      <c r="C93" s="73">
        <f t="shared" si="0"/>
        <v>89</v>
      </c>
      <c r="D93" s="74" t="s">
        <v>851</v>
      </c>
      <c r="E93" s="73">
        <f t="shared" ref="E93" si="55">E92+1</f>
        <v>89</v>
      </c>
      <c r="F93" s="74" t="s">
        <v>852</v>
      </c>
      <c r="G93" s="78" t="s">
        <v>610</v>
      </c>
      <c r="H93" s="73" t="s">
        <v>27</v>
      </c>
      <c r="I93" s="73"/>
      <c r="J93" s="74" t="s">
        <v>853</v>
      </c>
      <c r="K93" s="74"/>
      <c r="L93" s="74" t="s">
        <v>612</v>
      </c>
      <c r="M93" s="73" t="s">
        <v>613</v>
      </c>
      <c r="N93" s="78" t="s">
        <v>623</v>
      </c>
    </row>
    <row r="94" spans="1:14" s="49" customFormat="1" ht="73.5">
      <c r="A94" s="73">
        <f t="shared" si="0"/>
        <v>90</v>
      </c>
      <c r="B94" s="80" t="s">
        <v>225</v>
      </c>
      <c r="C94" s="73">
        <f t="shared" si="0"/>
        <v>90</v>
      </c>
      <c r="D94" s="74" t="s">
        <v>226</v>
      </c>
      <c r="E94" s="73">
        <f t="shared" ref="E94" si="56">E93+1</f>
        <v>90</v>
      </c>
      <c r="F94" s="74" t="s">
        <v>854</v>
      </c>
      <c r="G94" s="78" t="s">
        <v>610</v>
      </c>
      <c r="H94" s="73" t="s">
        <v>27</v>
      </c>
      <c r="I94" s="73"/>
      <c r="J94" s="74" t="s">
        <v>855</v>
      </c>
      <c r="K94" s="74"/>
      <c r="L94" s="74" t="s">
        <v>612</v>
      </c>
      <c r="M94" s="73" t="s">
        <v>613</v>
      </c>
      <c r="N94" s="78" t="s">
        <v>623</v>
      </c>
    </row>
    <row r="95" spans="1:14" s="49" customFormat="1" ht="73.5">
      <c r="A95" s="73">
        <f t="shared" si="0"/>
        <v>91</v>
      </c>
      <c r="B95" s="80" t="s">
        <v>228</v>
      </c>
      <c r="C95" s="73">
        <f t="shared" si="0"/>
        <v>91</v>
      </c>
      <c r="D95" s="74" t="s">
        <v>229</v>
      </c>
      <c r="E95" s="73">
        <f t="shared" ref="E95" si="57">E94+1</f>
        <v>91</v>
      </c>
      <c r="F95" s="74" t="s">
        <v>856</v>
      </c>
      <c r="G95" s="78" t="s">
        <v>610</v>
      </c>
      <c r="H95" s="73" t="s">
        <v>27</v>
      </c>
      <c r="I95" s="73"/>
      <c r="J95" s="74" t="s">
        <v>857</v>
      </c>
      <c r="K95" s="74"/>
      <c r="L95" s="74" t="s">
        <v>612</v>
      </c>
      <c r="M95" s="73" t="s">
        <v>613</v>
      </c>
      <c r="N95" s="78" t="s">
        <v>623</v>
      </c>
    </row>
    <row r="96" spans="1:14" s="49" customFormat="1" ht="73.5">
      <c r="A96" s="73">
        <f t="shared" si="0"/>
        <v>92</v>
      </c>
      <c r="B96" s="80" t="s">
        <v>231</v>
      </c>
      <c r="C96" s="73">
        <f t="shared" si="0"/>
        <v>92</v>
      </c>
      <c r="D96" s="74" t="s">
        <v>232</v>
      </c>
      <c r="E96" s="73">
        <f t="shared" ref="E96" si="58">E95+1</f>
        <v>92</v>
      </c>
      <c r="F96" s="74" t="s">
        <v>858</v>
      </c>
      <c r="G96" s="78" t="s">
        <v>610</v>
      </c>
      <c r="H96" s="73" t="s">
        <v>27</v>
      </c>
      <c r="I96" s="73"/>
      <c r="J96" s="74" t="s">
        <v>859</v>
      </c>
      <c r="K96" s="74"/>
      <c r="L96" s="74" t="s">
        <v>612</v>
      </c>
      <c r="M96" s="73" t="s">
        <v>613</v>
      </c>
      <c r="N96" s="78" t="s">
        <v>623</v>
      </c>
    </row>
    <row r="97" spans="1:14" s="49" customFormat="1" ht="52.5">
      <c r="A97" s="73">
        <f t="shared" si="0"/>
        <v>93</v>
      </c>
      <c r="B97" s="73" t="s">
        <v>860</v>
      </c>
      <c r="C97" s="73">
        <f t="shared" si="0"/>
        <v>93</v>
      </c>
      <c r="D97" s="74" t="s">
        <v>861</v>
      </c>
      <c r="E97" s="73">
        <f t="shared" ref="E97" si="59">E96+1</f>
        <v>93</v>
      </c>
      <c r="F97" s="74" t="s">
        <v>830</v>
      </c>
      <c r="G97" s="73" t="s">
        <v>610</v>
      </c>
      <c r="H97" s="73" t="s">
        <v>27</v>
      </c>
      <c r="I97" s="73"/>
      <c r="J97" s="73" t="s">
        <v>862</v>
      </c>
      <c r="K97" s="74"/>
      <c r="L97" s="74" t="s">
        <v>612</v>
      </c>
      <c r="M97" s="73" t="s">
        <v>613</v>
      </c>
      <c r="N97" s="73" t="s">
        <v>614</v>
      </c>
    </row>
    <row r="98" spans="1:14" s="49" customFormat="1" ht="63">
      <c r="A98" s="73">
        <f t="shared" si="0"/>
        <v>94</v>
      </c>
      <c r="B98" s="73" t="s">
        <v>863</v>
      </c>
      <c r="C98" s="73">
        <f t="shared" si="0"/>
        <v>94</v>
      </c>
      <c r="D98" s="74" t="s">
        <v>864</v>
      </c>
      <c r="E98" s="73">
        <f t="shared" ref="E98" si="60">E97+1</f>
        <v>94</v>
      </c>
      <c r="F98" s="74" t="s">
        <v>865</v>
      </c>
      <c r="G98" s="73" t="s">
        <v>610</v>
      </c>
      <c r="H98" s="73" t="s">
        <v>27</v>
      </c>
      <c r="I98" s="73"/>
      <c r="J98" s="73" t="s">
        <v>866</v>
      </c>
      <c r="K98" s="74"/>
      <c r="L98" s="74" t="s">
        <v>612</v>
      </c>
      <c r="M98" s="73" t="s">
        <v>613</v>
      </c>
      <c r="N98" s="73" t="s">
        <v>614</v>
      </c>
    </row>
    <row r="99" spans="1:14" s="49" customFormat="1" ht="73.5">
      <c r="A99" s="73">
        <f t="shared" si="0"/>
        <v>95</v>
      </c>
      <c r="B99" s="80" t="s">
        <v>867</v>
      </c>
      <c r="C99" s="73">
        <f t="shared" si="0"/>
        <v>95</v>
      </c>
      <c r="D99" s="79" t="s">
        <v>868</v>
      </c>
      <c r="E99" s="73">
        <f t="shared" ref="E99" si="61">E98+1</f>
        <v>95</v>
      </c>
      <c r="F99" s="74" t="s">
        <v>869</v>
      </c>
      <c r="G99" s="78" t="s">
        <v>610</v>
      </c>
      <c r="H99" s="73" t="s">
        <v>27</v>
      </c>
      <c r="I99" s="73"/>
      <c r="J99" s="73" t="s">
        <v>870</v>
      </c>
      <c r="K99" s="79"/>
      <c r="L99" s="74" t="s">
        <v>612</v>
      </c>
      <c r="M99" s="73" t="s">
        <v>613</v>
      </c>
      <c r="N99" s="78" t="s">
        <v>623</v>
      </c>
    </row>
    <row r="100" spans="1:14" s="49" customFormat="1" ht="73.5">
      <c r="A100" s="73">
        <f t="shared" si="0"/>
        <v>96</v>
      </c>
      <c r="B100" s="80" t="s">
        <v>871</v>
      </c>
      <c r="C100" s="73">
        <f t="shared" si="0"/>
        <v>96</v>
      </c>
      <c r="D100" s="79" t="s">
        <v>872</v>
      </c>
      <c r="E100" s="73">
        <f t="shared" ref="E100" si="62">E99+1</f>
        <v>96</v>
      </c>
      <c r="F100" s="74" t="s">
        <v>873</v>
      </c>
      <c r="G100" s="78" t="s">
        <v>635</v>
      </c>
      <c r="H100" s="73" t="s">
        <v>27</v>
      </c>
      <c r="I100" s="73"/>
      <c r="J100" s="73" t="s">
        <v>874</v>
      </c>
      <c r="K100" s="79"/>
      <c r="L100" s="74" t="s">
        <v>612</v>
      </c>
      <c r="M100" s="73" t="s">
        <v>613</v>
      </c>
      <c r="N100" s="78" t="s">
        <v>637</v>
      </c>
    </row>
    <row r="101" spans="1:14" s="49" customFormat="1" ht="73.5">
      <c r="A101" s="73">
        <f t="shared" si="0"/>
        <v>97</v>
      </c>
      <c r="B101" s="80" t="s">
        <v>875</v>
      </c>
      <c r="C101" s="73">
        <f t="shared" si="0"/>
        <v>97</v>
      </c>
      <c r="D101" s="79" t="s">
        <v>876</v>
      </c>
      <c r="E101" s="73">
        <f t="shared" ref="E101" si="63">E100+1</f>
        <v>97</v>
      </c>
      <c r="F101" s="74" t="s">
        <v>877</v>
      </c>
      <c r="G101" s="78" t="s">
        <v>635</v>
      </c>
      <c r="H101" s="73" t="s">
        <v>27</v>
      </c>
      <c r="I101" s="73"/>
      <c r="J101" s="73" t="s">
        <v>878</v>
      </c>
      <c r="K101" s="79"/>
      <c r="L101" s="74" t="s">
        <v>612</v>
      </c>
      <c r="M101" s="73" t="s">
        <v>613</v>
      </c>
      <c r="N101" s="78" t="s">
        <v>637</v>
      </c>
    </row>
    <row r="102" spans="1:14" s="49" customFormat="1" ht="73.5">
      <c r="A102" s="73">
        <f t="shared" si="0"/>
        <v>98</v>
      </c>
      <c r="B102" s="80" t="s">
        <v>879</v>
      </c>
      <c r="C102" s="73">
        <f t="shared" si="0"/>
        <v>98</v>
      </c>
      <c r="D102" s="79" t="s">
        <v>880</v>
      </c>
      <c r="E102" s="73">
        <f t="shared" ref="E102" si="64">E101+1</f>
        <v>98</v>
      </c>
      <c r="F102" s="74" t="s">
        <v>881</v>
      </c>
      <c r="G102" s="78" t="s">
        <v>635</v>
      </c>
      <c r="H102" s="73" t="s">
        <v>27</v>
      </c>
      <c r="I102" s="73"/>
      <c r="J102" s="73" t="s">
        <v>882</v>
      </c>
      <c r="K102" s="79"/>
      <c r="L102" s="74" t="s">
        <v>612</v>
      </c>
      <c r="M102" s="73" t="s">
        <v>613</v>
      </c>
      <c r="N102" s="78" t="s">
        <v>637</v>
      </c>
    </row>
    <row r="103" spans="1:14" s="49" customFormat="1" ht="73.5">
      <c r="A103" s="73">
        <f t="shared" ref="A103:C134" si="65">A102+1</f>
        <v>99</v>
      </c>
      <c r="B103" s="80" t="s">
        <v>883</v>
      </c>
      <c r="C103" s="73">
        <f t="shared" si="65"/>
        <v>99</v>
      </c>
      <c r="D103" s="79" t="s">
        <v>884</v>
      </c>
      <c r="E103" s="73">
        <f t="shared" ref="E103" si="66">E102+1</f>
        <v>99</v>
      </c>
      <c r="F103" s="74" t="s">
        <v>885</v>
      </c>
      <c r="G103" s="78" t="s">
        <v>635</v>
      </c>
      <c r="H103" s="73" t="s">
        <v>27</v>
      </c>
      <c r="I103" s="73"/>
      <c r="J103" s="73" t="s">
        <v>886</v>
      </c>
      <c r="K103" s="79"/>
      <c r="L103" s="74" t="s">
        <v>612</v>
      </c>
      <c r="M103" s="73" t="s">
        <v>613</v>
      </c>
      <c r="N103" s="78" t="s">
        <v>637</v>
      </c>
    </row>
    <row r="104" spans="1:14" s="49" customFormat="1" ht="73.5">
      <c r="A104" s="73">
        <f t="shared" si="65"/>
        <v>100</v>
      </c>
      <c r="B104" s="80" t="s">
        <v>887</v>
      </c>
      <c r="C104" s="73">
        <f t="shared" si="65"/>
        <v>100</v>
      </c>
      <c r="D104" s="79" t="s">
        <v>888</v>
      </c>
      <c r="E104" s="73">
        <f t="shared" ref="E104" si="67">E103+1</f>
        <v>100</v>
      </c>
      <c r="F104" s="74" t="s">
        <v>889</v>
      </c>
      <c r="G104" s="78" t="s">
        <v>635</v>
      </c>
      <c r="H104" s="73" t="s">
        <v>27</v>
      </c>
      <c r="I104" s="73"/>
      <c r="J104" s="73" t="s">
        <v>890</v>
      </c>
      <c r="K104" s="79"/>
      <c r="L104" s="74" t="s">
        <v>612</v>
      </c>
      <c r="M104" s="73" t="s">
        <v>613</v>
      </c>
      <c r="N104" s="78" t="s">
        <v>637</v>
      </c>
    </row>
    <row r="105" spans="1:14" s="49" customFormat="1" ht="73.5">
      <c r="A105" s="73">
        <f t="shared" si="65"/>
        <v>101</v>
      </c>
      <c r="B105" s="80" t="s">
        <v>891</v>
      </c>
      <c r="C105" s="73">
        <f t="shared" si="65"/>
        <v>101</v>
      </c>
      <c r="D105" s="79" t="s">
        <v>892</v>
      </c>
      <c r="E105" s="73">
        <f t="shared" ref="E105" si="68">E104+1</f>
        <v>101</v>
      </c>
      <c r="F105" s="74" t="s">
        <v>893</v>
      </c>
      <c r="G105" s="78" t="s">
        <v>610</v>
      </c>
      <c r="H105" s="73" t="s">
        <v>27</v>
      </c>
      <c r="I105" s="73"/>
      <c r="J105" s="73" t="s">
        <v>894</v>
      </c>
      <c r="K105" s="79"/>
      <c r="L105" s="74" t="s">
        <v>612</v>
      </c>
      <c r="M105" s="73" t="s">
        <v>613</v>
      </c>
      <c r="N105" s="78" t="s">
        <v>623</v>
      </c>
    </row>
    <row r="106" spans="1:14" s="49" customFormat="1" ht="73.5">
      <c r="A106" s="73">
        <f t="shared" si="65"/>
        <v>102</v>
      </c>
      <c r="B106" s="80" t="s">
        <v>895</v>
      </c>
      <c r="C106" s="73">
        <f t="shared" si="65"/>
        <v>102</v>
      </c>
      <c r="D106" s="79" t="s">
        <v>896</v>
      </c>
      <c r="E106" s="73">
        <f t="shared" ref="E106" si="69">E105+1</f>
        <v>102</v>
      </c>
      <c r="F106" s="74" t="s">
        <v>897</v>
      </c>
      <c r="G106" s="78" t="s">
        <v>610</v>
      </c>
      <c r="H106" s="73" t="s">
        <v>27</v>
      </c>
      <c r="I106" s="73"/>
      <c r="J106" s="73" t="s">
        <v>898</v>
      </c>
      <c r="K106" s="79"/>
      <c r="L106" s="74" t="s">
        <v>612</v>
      </c>
      <c r="M106" s="73" t="s">
        <v>613</v>
      </c>
      <c r="N106" s="78" t="s">
        <v>623</v>
      </c>
    </row>
    <row r="107" spans="1:14" s="49" customFormat="1" ht="73.5">
      <c r="A107" s="73">
        <f t="shared" si="65"/>
        <v>103</v>
      </c>
      <c r="B107" s="80" t="s">
        <v>899</v>
      </c>
      <c r="C107" s="73">
        <f t="shared" si="65"/>
        <v>103</v>
      </c>
      <c r="D107" s="79" t="s">
        <v>900</v>
      </c>
      <c r="E107" s="73">
        <f t="shared" ref="E107" si="70">E106+1</f>
        <v>103</v>
      </c>
      <c r="F107" s="74" t="s">
        <v>901</v>
      </c>
      <c r="G107" s="78" t="s">
        <v>610</v>
      </c>
      <c r="H107" s="73" t="s">
        <v>27</v>
      </c>
      <c r="I107" s="73"/>
      <c r="J107" s="73" t="s">
        <v>902</v>
      </c>
      <c r="K107" s="79"/>
      <c r="L107" s="74" t="s">
        <v>612</v>
      </c>
      <c r="M107" s="73" t="s">
        <v>613</v>
      </c>
      <c r="N107" s="78" t="s">
        <v>623</v>
      </c>
    </row>
    <row r="108" spans="1:14" s="49" customFormat="1" ht="73.5">
      <c r="A108" s="73">
        <f t="shared" si="65"/>
        <v>104</v>
      </c>
      <c r="B108" s="80" t="s">
        <v>903</v>
      </c>
      <c r="C108" s="73">
        <f t="shared" si="65"/>
        <v>104</v>
      </c>
      <c r="D108" s="79" t="s">
        <v>904</v>
      </c>
      <c r="E108" s="73">
        <f t="shared" ref="E108" si="71">E107+1</f>
        <v>104</v>
      </c>
      <c r="F108" s="74" t="s">
        <v>905</v>
      </c>
      <c r="G108" s="78" t="s">
        <v>610</v>
      </c>
      <c r="H108" s="73" t="s">
        <v>27</v>
      </c>
      <c r="I108" s="73"/>
      <c r="J108" s="73" t="s">
        <v>906</v>
      </c>
      <c r="K108" s="79"/>
      <c r="L108" s="74" t="s">
        <v>612</v>
      </c>
      <c r="M108" s="73" t="s">
        <v>613</v>
      </c>
      <c r="N108" s="78" t="s">
        <v>623</v>
      </c>
    </row>
    <row r="109" spans="1:14" s="49" customFormat="1" ht="73.5">
      <c r="A109" s="73">
        <f t="shared" si="65"/>
        <v>105</v>
      </c>
      <c r="B109" s="80" t="s">
        <v>234</v>
      </c>
      <c r="C109" s="73">
        <f t="shared" si="65"/>
        <v>105</v>
      </c>
      <c r="D109" s="79" t="s">
        <v>235</v>
      </c>
      <c r="E109" s="73">
        <f t="shared" ref="E109" si="72">E108+1</f>
        <v>105</v>
      </c>
      <c r="F109" s="74" t="s">
        <v>907</v>
      </c>
      <c r="G109" s="78" t="s">
        <v>610</v>
      </c>
      <c r="H109" s="73" t="s">
        <v>27</v>
      </c>
      <c r="I109" s="73"/>
      <c r="J109" s="73" t="s">
        <v>908</v>
      </c>
      <c r="K109" s="79"/>
      <c r="L109" s="74" t="s">
        <v>612</v>
      </c>
      <c r="M109" s="73" t="s">
        <v>613</v>
      </c>
      <c r="N109" s="78" t="s">
        <v>623</v>
      </c>
    </row>
    <row r="110" spans="1:14" s="50" customFormat="1">
      <c r="A110" s="81">
        <f t="shared" si="65"/>
        <v>106</v>
      </c>
      <c r="B110" s="81" t="s">
        <v>909</v>
      </c>
      <c r="C110" s="81">
        <f t="shared" si="65"/>
        <v>106</v>
      </c>
      <c r="D110" s="81" t="s">
        <v>910</v>
      </c>
      <c r="E110" s="81">
        <f t="shared" ref="E110" si="73">E109+1</f>
        <v>106</v>
      </c>
      <c r="F110" s="81" t="s">
        <v>911</v>
      </c>
      <c r="G110" s="81" t="s">
        <v>620</v>
      </c>
      <c r="H110" s="81" t="s">
        <v>27</v>
      </c>
      <c r="I110" s="81"/>
      <c r="J110" s="82" t="s">
        <v>912</v>
      </c>
      <c r="K110" s="81"/>
      <c r="L110" s="83" t="s">
        <v>612</v>
      </c>
      <c r="M110" s="81" t="s">
        <v>613</v>
      </c>
      <c r="N110" s="81" t="s">
        <v>623</v>
      </c>
    </row>
    <row r="111" spans="1:14" s="50" customFormat="1">
      <c r="A111" s="81">
        <f t="shared" si="65"/>
        <v>107</v>
      </c>
      <c r="B111" s="81" t="s">
        <v>913</v>
      </c>
      <c r="C111" s="81">
        <f t="shared" si="65"/>
        <v>107</v>
      </c>
      <c r="D111" s="81" t="s">
        <v>914</v>
      </c>
      <c r="E111" s="81">
        <f t="shared" ref="E111" si="74">E110+1</f>
        <v>107</v>
      </c>
      <c r="F111" s="81" t="s">
        <v>911</v>
      </c>
      <c r="G111" s="81" t="s">
        <v>620</v>
      </c>
      <c r="H111" s="81" t="s">
        <v>27</v>
      </c>
      <c r="I111" s="81"/>
      <c r="J111" s="82" t="s">
        <v>915</v>
      </c>
      <c r="K111" s="81"/>
      <c r="L111" s="83" t="s">
        <v>612</v>
      </c>
      <c r="M111" s="81" t="s">
        <v>613</v>
      </c>
      <c r="N111" s="81" t="s">
        <v>623</v>
      </c>
    </row>
    <row r="112" spans="1:14" s="50" customFormat="1">
      <c r="A112" s="81">
        <f t="shared" si="65"/>
        <v>108</v>
      </c>
      <c r="B112" s="81" t="s">
        <v>916</v>
      </c>
      <c r="C112" s="81">
        <f t="shared" si="65"/>
        <v>108</v>
      </c>
      <c r="D112" s="81" t="s">
        <v>917</v>
      </c>
      <c r="E112" s="81">
        <f t="shared" ref="E112" si="75">E111+1</f>
        <v>108</v>
      </c>
      <c r="F112" s="81" t="s">
        <v>911</v>
      </c>
      <c r="G112" s="81" t="s">
        <v>620</v>
      </c>
      <c r="H112" s="81" t="s">
        <v>27</v>
      </c>
      <c r="I112" s="81"/>
      <c r="J112" s="82" t="s">
        <v>918</v>
      </c>
      <c r="K112" s="81"/>
      <c r="L112" s="83" t="s">
        <v>612</v>
      </c>
      <c r="M112" s="81" t="s">
        <v>613</v>
      </c>
      <c r="N112" s="81" t="s">
        <v>623</v>
      </c>
    </row>
    <row r="113" spans="1:14" s="50" customFormat="1">
      <c r="A113" s="81">
        <f t="shared" si="65"/>
        <v>109</v>
      </c>
      <c r="B113" s="81" t="s">
        <v>919</v>
      </c>
      <c r="C113" s="81">
        <f t="shared" si="65"/>
        <v>109</v>
      </c>
      <c r="D113" s="81" t="s">
        <v>920</v>
      </c>
      <c r="E113" s="81">
        <f t="shared" ref="E113" si="76">E112+1</f>
        <v>109</v>
      </c>
      <c r="F113" s="81" t="s">
        <v>911</v>
      </c>
      <c r="G113" s="81" t="s">
        <v>921</v>
      </c>
      <c r="H113" s="81" t="s">
        <v>27</v>
      </c>
      <c r="I113" s="81"/>
      <c r="J113" s="82" t="s">
        <v>922</v>
      </c>
      <c r="K113" s="81"/>
      <c r="L113" s="83" t="s">
        <v>612</v>
      </c>
      <c r="M113" s="81" t="s">
        <v>613</v>
      </c>
      <c r="N113" s="81" t="s">
        <v>923</v>
      </c>
    </row>
    <row r="114" spans="1:14" s="50" customFormat="1">
      <c r="A114" s="81">
        <f t="shared" si="65"/>
        <v>110</v>
      </c>
      <c r="B114" s="81" t="s">
        <v>924</v>
      </c>
      <c r="C114" s="81">
        <f t="shared" si="65"/>
        <v>110</v>
      </c>
      <c r="D114" s="81" t="s">
        <v>925</v>
      </c>
      <c r="E114" s="81">
        <f t="shared" ref="E114" si="77">E113+1</f>
        <v>110</v>
      </c>
      <c r="F114" s="81" t="s">
        <v>911</v>
      </c>
      <c r="G114" s="81" t="s">
        <v>921</v>
      </c>
      <c r="H114" s="81" t="s">
        <v>27</v>
      </c>
      <c r="I114" s="81"/>
      <c r="J114" s="82" t="s">
        <v>926</v>
      </c>
      <c r="K114" s="81"/>
      <c r="L114" s="83" t="s">
        <v>612</v>
      </c>
      <c r="M114" s="81" t="s">
        <v>613</v>
      </c>
      <c r="N114" s="81" t="s">
        <v>923</v>
      </c>
    </row>
    <row r="115" spans="1:14" s="50" customFormat="1">
      <c r="A115" s="81">
        <f t="shared" si="65"/>
        <v>111</v>
      </c>
      <c r="B115" s="81" t="s">
        <v>927</v>
      </c>
      <c r="C115" s="81">
        <f t="shared" si="65"/>
        <v>111</v>
      </c>
      <c r="D115" s="81" t="s">
        <v>928</v>
      </c>
      <c r="E115" s="81">
        <f t="shared" ref="E115" si="78">E114+1</f>
        <v>111</v>
      </c>
      <c r="F115" s="81" t="s">
        <v>911</v>
      </c>
      <c r="G115" s="81" t="s">
        <v>921</v>
      </c>
      <c r="H115" s="81" t="s">
        <v>27</v>
      </c>
      <c r="I115" s="81"/>
      <c r="J115" s="82" t="s">
        <v>929</v>
      </c>
      <c r="K115" s="81"/>
      <c r="L115" s="83" t="s">
        <v>612</v>
      </c>
      <c r="M115" s="81" t="s">
        <v>613</v>
      </c>
      <c r="N115" s="81" t="s">
        <v>923</v>
      </c>
    </row>
    <row r="116" spans="1:14" s="50" customFormat="1">
      <c r="A116" s="81">
        <f t="shared" si="65"/>
        <v>112</v>
      </c>
      <c r="B116" s="81" t="s">
        <v>930</v>
      </c>
      <c r="C116" s="81">
        <f t="shared" si="65"/>
        <v>112</v>
      </c>
      <c r="D116" s="81" t="s">
        <v>931</v>
      </c>
      <c r="E116" s="81">
        <f t="shared" ref="E116" si="79">E115+1</f>
        <v>112</v>
      </c>
      <c r="F116" s="81" t="s">
        <v>911</v>
      </c>
      <c r="G116" s="81" t="s">
        <v>610</v>
      </c>
      <c r="H116" s="81" t="s">
        <v>27</v>
      </c>
      <c r="I116" s="81"/>
      <c r="J116" s="82" t="s">
        <v>932</v>
      </c>
      <c r="K116" s="81"/>
      <c r="L116" s="83" t="s">
        <v>612</v>
      </c>
      <c r="M116" s="81" t="s">
        <v>613</v>
      </c>
      <c r="N116" s="81" t="s">
        <v>614</v>
      </c>
    </row>
    <row r="117" spans="1:14" s="50" customFormat="1">
      <c r="A117" s="81">
        <f t="shared" si="65"/>
        <v>113</v>
      </c>
      <c r="B117" s="81" t="s">
        <v>933</v>
      </c>
      <c r="C117" s="81">
        <f t="shared" si="65"/>
        <v>113</v>
      </c>
      <c r="D117" s="81" t="s">
        <v>934</v>
      </c>
      <c r="E117" s="81">
        <f t="shared" ref="E117" si="80">E116+1</f>
        <v>113</v>
      </c>
      <c r="F117" s="81" t="s">
        <v>911</v>
      </c>
      <c r="G117" s="81" t="s">
        <v>610</v>
      </c>
      <c r="H117" s="81" t="s">
        <v>27</v>
      </c>
      <c r="I117" s="81"/>
      <c r="J117" s="82" t="s">
        <v>935</v>
      </c>
      <c r="K117" s="81"/>
      <c r="L117" s="83" t="s">
        <v>612</v>
      </c>
      <c r="M117" s="81" t="s">
        <v>613</v>
      </c>
      <c r="N117" s="81" t="s">
        <v>614</v>
      </c>
    </row>
    <row r="118" spans="1:14" s="50" customFormat="1">
      <c r="A118" s="81">
        <f t="shared" si="65"/>
        <v>114</v>
      </c>
      <c r="B118" s="81" t="s">
        <v>936</v>
      </c>
      <c r="C118" s="81">
        <f t="shared" si="65"/>
        <v>114</v>
      </c>
      <c r="D118" s="81" t="s">
        <v>937</v>
      </c>
      <c r="E118" s="81">
        <f t="shared" ref="E118" si="81">E117+1</f>
        <v>114</v>
      </c>
      <c r="F118" s="81" t="s">
        <v>911</v>
      </c>
      <c r="G118" s="81" t="s">
        <v>610</v>
      </c>
      <c r="H118" s="81" t="s">
        <v>27</v>
      </c>
      <c r="I118" s="81"/>
      <c r="J118" s="82" t="s">
        <v>938</v>
      </c>
      <c r="K118" s="81"/>
      <c r="L118" s="83" t="s">
        <v>612</v>
      </c>
      <c r="M118" s="81" t="s">
        <v>613</v>
      </c>
      <c r="N118" s="81" t="s">
        <v>614</v>
      </c>
    </row>
    <row r="119" spans="1:14" s="50" customFormat="1">
      <c r="A119" s="81">
        <f t="shared" si="65"/>
        <v>115</v>
      </c>
      <c r="B119" s="81" t="s">
        <v>939</v>
      </c>
      <c r="C119" s="81">
        <f t="shared" si="65"/>
        <v>115</v>
      </c>
      <c r="D119" s="81" t="s">
        <v>940</v>
      </c>
      <c r="E119" s="81">
        <f t="shared" ref="E119" si="82">E118+1</f>
        <v>115</v>
      </c>
      <c r="F119" s="81" t="s">
        <v>941</v>
      </c>
      <c r="G119" s="81" t="s">
        <v>745</v>
      </c>
      <c r="H119" s="81" t="s">
        <v>27</v>
      </c>
      <c r="I119" s="81"/>
      <c r="J119" s="82" t="s">
        <v>942</v>
      </c>
      <c r="K119" s="81"/>
      <c r="L119" s="83" t="s">
        <v>612</v>
      </c>
      <c r="M119" s="81" t="s">
        <v>613</v>
      </c>
      <c r="N119" s="81" t="s">
        <v>747</v>
      </c>
    </row>
    <row r="120" spans="1:14" s="50" customFormat="1">
      <c r="A120" s="81">
        <f t="shared" si="65"/>
        <v>116</v>
      </c>
      <c r="B120" s="81" t="s">
        <v>943</v>
      </c>
      <c r="C120" s="81">
        <f t="shared" si="65"/>
        <v>116</v>
      </c>
      <c r="D120" s="81" t="s">
        <v>944</v>
      </c>
      <c r="E120" s="81">
        <f t="shared" ref="E120" si="83">E119+1</f>
        <v>116</v>
      </c>
      <c r="F120" s="81" t="s">
        <v>941</v>
      </c>
      <c r="G120" s="81" t="s">
        <v>745</v>
      </c>
      <c r="H120" s="81" t="s">
        <v>27</v>
      </c>
      <c r="I120" s="81"/>
      <c r="J120" s="82" t="s">
        <v>945</v>
      </c>
      <c r="K120" s="81"/>
      <c r="L120" s="83" t="s">
        <v>612</v>
      </c>
      <c r="M120" s="81" t="s">
        <v>613</v>
      </c>
      <c r="N120" s="81" t="s">
        <v>747</v>
      </c>
    </row>
    <row r="121" spans="1:14" s="50" customFormat="1">
      <c r="A121" s="81">
        <f t="shared" si="65"/>
        <v>117</v>
      </c>
      <c r="B121" s="81" t="s">
        <v>946</v>
      </c>
      <c r="C121" s="81">
        <f t="shared" si="65"/>
        <v>117</v>
      </c>
      <c r="D121" s="81" t="s">
        <v>947</v>
      </c>
      <c r="E121" s="81">
        <f t="shared" ref="E121" si="84">E120+1</f>
        <v>117</v>
      </c>
      <c r="F121" s="81" t="s">
        <v>941</v>
      </c>
      <c r="G121" s="81" t="s">
        <v>745</v>
      </c>
      <c r="H121" s="81" t="s">
        <v>27</v>
      </c>
      <c r="I121" s="81"/>
      <c r="J121" s="82" t="s">
        <v>948</v>
      </c>
      <c r="K121" s="81"/>
      <c r="L121" s="83" t="s">
        <v>612</v>
      </c>
      <c r="M121" s="81" t="s">
        <v>613</v>
      </c>
      <c r="N121" s="81" t="s">
        <v>747</v>
      </c>
    </row>
    <row r="122" spans="1:14" s="50" customFormat="1">
      <c r="A122" s="81">
        <f t="shared" si="65"/>
        <v>118</v>
      </c>
      <c r="B122" s="81" t="s">
        <v>949</v>
      </c>
      <c r="C122" s="81">
        <f t="shared" si="65"/>
        <v>118</v>
      </c>
      <c r="D122" s="81" t="s">
        <v>950</v>
      </c>
      <c r="E122" s="81">
        <f t="shared" ref="E122" si="85">E121+1</f>
        <v>118</v>
      </c>
      <c r="F122" s="81" t="s">
        <v>941</v>
      </c>
      <c r="G122" s="81" t="s">
        <v>745</v>
      </c>
      <c r="H122" s="81" t="s">
        <v>27</v>
      </c>
      <c r="I122" s="81"/>
      <c r="J122" s="82" t="s">
        <v>951</v>
      </c>
      <c r="K122" s="81"/>
      <c r="L122" s="83" t="s">
        <v>612</v>
      </c>
      <c r="M122" s="81" t="s">
        <v>613</v>
      </c>
      <c r="N122" s="81" t="s">
        <v>747</v>
      </c>
    </row>
    <row r="123" spans="1:14" s="50" customFormat="1">
      <c r="A123" s="81">
        <f t="shared" si="65"/>
        <v>119</v>
      </c>
      <c r="B123" s="81" t="s">
        <v>952</v>
      </c>
      <c r="C123" s="81">
        <f t="shared" si="65"/>
        <v>119</v>
      </c>
      <c r="D123" s="81" t="s">
        <v>953</v>
      </c>
      <c r="E123" s="81">
        <f t="shared" ref="E123" si="86">E122+1</f>
        <v>119</v>
      </c>
      <c r="F123" s="81" t="s">
        <v>941</v>
      </c>
      <c r="G123" s="81" t="s">
        <v>745</v>
      </c>
      <c r="H123" s="81" t="s">
        <v>27</v>
      </c>
      <c r="I123" s="81"/>
      <c r="J123" s="82" t="s">
        <v>954</v>
      </c>
      <c r="K123" s="81"/>
      <c r="L123" s="83" t="s">
        <v>612</v>
      </c>
      <c r="M123" s="81" t="s">
        <v>613</v>
      </c>
      <c r="N123" s="81" t="s">
        <v>747</v>
      </c>
    </row>
    <row r="124" spans="1:14" s="50" customFormat="1">
      <c r="A124" s="81">
        <f t="shared" si="65"/>
        <v>120</v>
      </c>
      <c r="B124" s="81" t="s">
        <v>955</v>
      </c>
      <c r="C124" s="81">
        <f t="shared" si="65"/>
        <v>120</v>
      </c>
      <c r="D124" s="81" t="s">
        <v>956</v>
      </c>
      <c r="E124" s="81">
        <f t="shared" ref="E124" si="87">E123+1</f>
        <v>120</v>
      </c>
      <c r="F124" s="81" t="s">
        <v>957</v>
      </c>
      <c r="G124" s="81" t="s">
        <v>958</v>
      </c>
      <c r="H124" s="81" t="s">
        <v>27</v>
      </c>
      <c r="I124" s="81"/>
      <c r="J124" s="82" t="s">
        <v>959</v>
      </c>
      <c r="K124" s="81"/>
      <c r="L124" s="83" t="s">
        <v>612</v>
      </c>
      <c r="M124" s="81" t="s">
        <v>613</v>
      </c>
      <c r="N124" s="81" t="s">
        <v>958</v>
      </c>
    </row>
    <row r="125" spans="1:14" s="50" customFormat="1">
      <c r="A125" s="81">
        <f t="shared" si="65"/>
        <v>121</v>
      </c>
      <c r="B125" s="81" t="s">
        <v>960</v>
      </c>
      <c r="C125" s="81">
        <f t="shared" si="65"/>
        <v>121</v>
      </c>
      <c r="D125" s="81" t="s">
        <v>961</v>
      </c>
      <c r="E125" s="81">
        <f t="shared" ref="E125" si="88">E124+1</f>
        <v>121</v>
      </c>
      <c r="F125" s="81" t="s">
        <v>957</v>
      </c>
      <c r="G125" s="81" t="s">
        <v>958</v>
      </c>
      <c r="H125" s="81" t="s">
        <v>27</v>
      </c>
      <c r="I125" s="81"/>
      <c r="J125" s="82" t="s">
        <v>962</v>
      </c>
      <c r="K125" s="81"/>
      <c r="L125" s="83" t="s">
        <v>612</v>
      </c>
      <c r="M125" s="81" t="s">
        <v>613</v>
      </c>
      <c r="N125" s="81" t="s">
        <v>958</v>
      </c>
    </row>
    <row r="126" spans="1:14" s="50" customFormat="1">
      <c r="A126" s="81">
        <f t="shared" si="65"/>
        <v>122</v>
      </c>
      <c r="B126" s="81" t="s">
        <v>963</v>
      </c>
      <c r="C126" s="81">
        <f t="shared" si="65"/>
        <v>122</v>
      </c>
      <c r="D126" s="81" t="s">
        <v>964</v>
      </c>
      <c r="E126" s="81">
        <f t="shared" ref="E126" si="89">E125+1</f>
        <v>122</v>
      </c>
      <c r="F126" s="81" t="s">
        <v>957</v>
      </c>
      <c r="G126" s="81" t="s">
        <v>958</v>
      </c>
      <c r="H126" s="81" t="s">
        <v>27</v>
      </c>
      <c r="I126" s="81"/>
      <c r="J126" s="82" t="s">
        <v>965</v>
      </c>
      <c r="K126" s="81"/>
      <c r="L126" s="83" t="s">
        <v>612</v>
      </c>
      <c r="M126" s="81" t="s">
        <v>613</v>
      </c>
      <c r="N126" s="81" t="s">
        <v>958</v>
      </c>
    </row>
    <row r="127" spans="1:14" s="50" customFormat="1">
      <c r="A127" s="81">
        <f t="shared" si="65"/>
        <v>123</v>
      </c>
      <c r="B127" s="81" t="s">
        <v>966</v>
      </c>
      <c r="C127" s="81">
        <f t="shared" si="65"/>
        <v>123</v>
      </c>
      <c r="D127" s="81" t="s">
        <v>967</v>
      </c>
      <c r="E127" s="81">
        <f t="shared" ref="E127" si="90">E126+1</f>
        <v>123</v>
      </c>
      <c r="F127" s="81" t="s">
        <v>957</v>
      </c>
      <c r="G127" s="81" t="s">
        <v>958</v>
      </c>
      <c r="H127" s="81" t="s">
        <v>27</v>
      </c>
      <c r="I127" s="81"/>
      <c r="J127" s="82" t="s">
        <v>968</v>
      </c>
      <c r="K127" s="81"/>
      <c r="L127" s="83" t="s">
        <v>612</v>
      </c>
      <c r="M127" s="81" t="s">
        <v>613</v>
      </c>
      <c r="N127" s="81" t="s">
        <v>958</v>
      </c>
    </row>
    <row r="128" spans="1:14" s="50" customFormat="1">
      <c r="A128" s="81">
        <f t="shared" si="65"/>
        <v>124</v>
      </c>
      <c r="B128" s="81" t="s">
        <v>969</v>
      </c>
      <c r="C128" s="81">
        <f t="shared" si="65"/>
        <v>124</v>
      </c>
      <c r="D128" s="81" t="s">
        <v>970</v>
      </c>
      <c r="E128" s="81">
        <f t="shared" ref="E128" si="91">E127+1</f>
        <v>124</v>
      </c>
      <c r="F128" s="81" t="s">
        <v>957</v>
      </c>
      <c r="G128" s="81" t="s">
        <v>958</v>
      </c>
      <c r="H128" s="81" t="s">
        <v>27</v>
      </c>
      <c r="I128" s="81"/>
      <c r="J128" s="82" t="s">
        <v>971</v>
      </c>
      <c r="K128" s="81"/>
      <c r="L128" s="83" t="s">
        <v>612</v>
      </c>
      <c r="M128" s="81" t="s">
        <v>613</v>
      </c>
      <c r="N128" s="81" t="s">
        <v>958</v>
      </c>
    </row>
    <row r="129" spans="1:14" s="50" customFormat="1">
      <c r="A129" s="81">
        <f t="shared" si="65"/>
        <v>125</v>
      </c>
      <c r="B129" s="81" t="s">
        <v>972</v>
      </c>
      <c r="C129" s="81">
        <f t="shared" si="65"/>
        <v>125</v>
      </c>
      <c r="D129" s="81" t="s">
        <v>973</v>
      </c>
      <c r="E129" s="81">
        <f t="shared" ref="E129" si="92">E128+1</f>
        <v>125</v>
      </c>
      <c r="F129" s="81" t="s">
        <v>974</v>
      </c>
      <c r="G129" s="81" t="s">
        <v>704</v>
      </c>
      <c r="H129" s="81" t="s">
        <v>27</v>
      </c>
      <c r="I129" s="81"/>
      <c r="J129" s="82" t="s">
        <v>975</v>
      </c>
      <c r="K129" s="81"/>
      <c r="L129" s="83" t="s">
        <v>612</v>
      </c>
      <c r="M129" s="81" t="s">
        <v>613</v>
      </c>
      <c r="N129" s="81" t="s">
        <v>704</v>
      </c>
    </row>
    <row r="130" spans="1:14" s="50" customFormat="1">
      <c r="A130" s="81">
        <f t="shared" si="65"/>
        <v>126</v>
      </c>
      <c r="B130" s="81" t="s">
        <v>976</v>
      </c>
      <c r="C130" s="81">
        <f t="shared" si="65"/>
        <v>126</v>
      </c>
      <c r="D130" s="81" t="s">
        <v>977</v>
      </c>
      <c r="E130" s="81">
        <f t="shared" ref="E130" si="93">E129+1</f>
        <v>126</v>
      </c>
      <c r="F130" s="81" t="s">
        <v>974</v>
      </c>
      <c r="G130" s="81" t="s">
        <v>704</v>
      </c>
      <c r="H130" s="81" t="s">
        <v>27</v>
      </c>
      <c r="I130" s="81"/>
      <c r="J130" s="82" t="s">
        <v>978</v>
      </c>
      <c r="K130" s="81"/>
      <c r="L130" s="83" t="s">
        <v>612</v>
      </c>
      <c r="M130" s="81" t="s">
        <v>613</v>
      </c>
      <c r="N130" s="81" t="s">
        <v>704</v>
      </c>
    </row>
    <row r="131" spans="1:14" s="50" customFormat="1">
      <c r="A131" s="81">
        <f t="shared" si="65"/>
        <v>127</v>
      </c>
      <c r="B131" s="81" t="s">
        <v>979</v>
      </c>
      <c r="C131" s="81">
        <f t="shared" si="65"/>
        <v>127</v>
      </c>
      <c r="D131" s="81" t="s">
        <v>980</v>
      </c>
      <c r="E131" s="81">
        <f t="shared" ref="E131" si="94">E130+1</f>
        <v>127</v>
      </c>
      <c r="F131" s="81" t="s">
        <v>974</v>
      </c>
      <c r="G131" s="81" t="s">
        <v>704</v>
      </c>
      <c r="H131" s="81" t="s">
        <v>27</v>
      </c>
      <c r="I131" s="81"/>
      <c r="J131" s="82" t="s">
        <v>981</v>
      </c>
      <c r="K131" s="81"/>
      <c r="L131" s="83" t="s">
        <v>612</v>
      </c>
      <c r="M131" s="81" t="s">
        <v>613</v>
      </c>
      <c r="N131" s="81" t="s">
        <v>704</v>
      </c>
    </row>
    <row r="132" spans="1:14" s="50" customFormat="1">
      <c r="A132" s="81">
        <f t="shared" si="65"/>
        <v>128</v>
      </c>
      <c r="B132" s="81" t="s">
        <v>982</v>
      </c>
      <c r="C132" s="81">
        <f t="shared" si="65"/>
        <v>128</v>
      </c>
      <c r="D132" s="81" t="s">
        <v>983</v>
      </c>
      <c r="E132" s="81">
        <f t="shared" ref="E132" si="95">E131+1</f>
        <v>128</v>
      </c>
      <c r="F132" s="81" t="s">
        <v>974</v>
      </c>
      <c r="G132" s="81" t="s">
        <v>704</v>
      </c>
      <c r="H132" s="81" t="s">
        <v>27</v>
      </c>
      <c r="I132" s="81"/>
      <c r="J132" s="82" t="s">
        <v>984</v>
      </c>
      <c r="K132" s="81"/>
      <c r="L132" s="83" t="s">
        <v>612</v>
      </c>
      <c r="M132" s="81" t="s">
        <v>613</v>
      </c>
      <c r="N132" s="81" t="s">
        <v>704</v>
      </c>
    </row>
    <row r="133" spans="1:14" s="50" customFormat="1">
      <c r="A133" s="81">
        <f t="shared" si="65"/>
        <v>129</v>
      </c>
      <c r="B133" s="81" t="s">
        <v>985</v>
      </c>
      <c r="C133" s="81">
        <f t="shared" si="65"/>
        <v>129</v>
      </c>
      <c r="D133" s="81" t="s">
        <v>986</v>
      </c>
      <c r="E133" s="81">
        <f t="shared" ref="E133" si="96">E132+1</f>
        <v>129</v>
      </c>
      <c r="F133" s="81" t="s">
        <v>974</v>
      </c>
      <c r="G133" s="81" t="s">
        <v>704</v>
      </c>
      <c r="H133" s="81" t="s">
        <v>27</v>
      </c>
      <c r="I133" s="81"/>
      <c r="J133" s="82" t="s">
        <v>987</v>
      </c>
      <c r="K133" s="81"/>
      <c r="L133" s="83" t="s">
        <v>612</v>
      </c>
      <c r="M133" s="81" t="s">
        <v>613</v>
      </c>
      <c r="N133" s="81" t="s">
        <v>704</v>
      </c>
    </row>
    <row r="134" spans="1:14" s="49" customFormat="1" ht="52.5">
      <c r="A134" s="73">
        <f t="shared" si="65"/>
        <v>130</v>
      </c>
      <c r="B134" s="73" t="s">
        <v>236</v>
      </c>
      <c r="C134" s="73">
        <f t="shared" si="65"/>
        <v>130</v>
      </c>
      <c r="D134" s="74" t="s">
        <v>237</v>
      </c>
      <c r="E134" s="73">
        <f t="shared" ref="E134" si="97">E133+1</f>
        <v>130</v>
      </c>
      <c r="F134" s="74" t="s">
        <v>988</v>
      </c>
      <c r="G134" s="73" t="s">
        <v>610</v>
      </c>
      <c r="H134" s="73" t="s">
        <v>20</v>
      </c>
      <c r="I134" s="73"/>
      <c r="J134" s="73" t="s">
        <v>989</v>
      </c>
      <c r="K134" s="74"/>
      <c r="L134" s="74" t="s">
        <v>612</v>
      </c>
      <c r="M134" s="73" t="s">
        <v>613</v>
      </c>
      <c r="N134" s="73" t="s">
        <v>614</v>
      </c>
    </row>
    <row r="135" spans="1:14" s="49" customFormat="1" ht="105">
      <c r="A135" s="73">
        <v>131</v>
      </c>
      <c r="B135" s="73" t="s">
        <v>239</v>
      </c>
      <c r="C135" s="73">
        <v>131</v>
      </c>
      <c r="D135" s="74" t="s">
        <v>240</v>
      </c>
      <c r="E135" s="73">
        <v>131</v>
      </c>
      <c r="F135" s="74" t="s">
        <v>990</v>
      </c>
      <c r="G135" s="73" t="s">
        <v>610</v>
      </c>
      <c r="H135" s="73" t="s">
        <v>27</v>
      </c>
      <c r="I135" s="73"/>
      <c r="J135" s="73" t="s">
        <v>991</v>
      </c>
      <c r="K135" s="74" t="s">
        <v>992</v>
      </c>
      <c r="L135" s="74" t="s">
        <v>612</v>
      </c>
      <c r="M135" s="73"/>
      <c r="N135" s="73" t="s">
        <v>614</v>
      </c>
    </row>
    <row r="136" spans="1:14" s="49" customFormat="1" ht="147">
      <c r="A136" s="73">
        <f>A135+1</f>
        <v>132</v>
      </c>
      <c r="B136" s="73" t="s">
        <v>241</v>
      </c>
      <c r="C136" s="73">
        <f>C135+1</f>
        <v>132</v>
      </c>
      <c r="D136" s="80" t="s">
        <v>241</v>
      </c>
      <c r="E136" s="73">
        <f>E135+1</f>
        <v>132</v>
      </c>
      <c r="F136" s="84" t="s">
        <v>993</v>
      </c>
      <c r="G136" s="73" t="s">
        <v>610</v>
      </c>
      <c r="H136" s="73" t="s">
        <v>20</v>
      </c>
      <c r="I136" s="73" t="s">
        <v>994</v>
      </c>
      <c r="J136" s="80" t="s">
        <v>995</v>
      </c>
      <c r="K136" s="80" t="s">
        <v>996</v>
      </c>
      <c r="L136" s="74" t="s">
        <v>612</v>
      </c>
      <c r="M136" s="73" t="s">
        <v>613</v>
      </c>
      <c r="N136" s="73" t="s">
        <v>614</v>
      </c>
    </row>
    <row r="137" spans="1:14" s="49" customFormat="1" ht="94.5">
      <c r="A137" s="73">
        <f t="shared" ref="A137:C200" si="98">A136+1</f>
        <v>133</v>
      </c>
      <c r="B137" s="73" t="s">
        <v>997</v>
      </c>
      <c r="C137" s="73">
        <f t="shared" si="98"/>
        <v>133</v>
      </c>
      <c r="D137" s="73" t="s">
        <v>998</v>
      </c>
      <c r="E137" s="73">
        <f t="shared" ref="E137" si="99">E136+1</f>
        <v>133</v>
      </c>
      <c r="F137" s="74" t="s">
        <v>999</v>
      </c>
      <c r="G137" s="73" t="s">
        <v>610</v>
      </c>
      <c r="H137" s="73" t="s">
        <v>20</v>
      </c>
      <c r="I137" s="73" t="s">
        <v>1000</v>
      </c>
      <c r="J137" s="73" t="s">
        <v>1001</v>
      </c>
      <c r="K137" s="74" t="s">
        <v>1002</v>
      </c>
      <c r="L137" s="74" t="s">
        <v>612</v>
      </c>
      <c r="M137" s="73" t="s">
        <v>613</v>
      </c>
      <c r="N137" s="73" t="s">
        <v>614</v>
      </c>
    </row>
    <row r="138" spans="1:14" s="49" customFormat="1" ht="84">
      <c r="A138" s="73">
        <f t="shared" si="98"/>
        <v>134</v>
      </c>
      <c r="B138" s="73" t="s">
        <v>1003</v>
      </c>
      <c r="C138" s="73">
        <f t="shared" si="98"/>
        <v>134</v>
      </c>
      <c r="D138" s="73" t="s">
        <v>1004</v>
      </c>
      <c r="E138" s="73">
        <f t="shared" ref="E138" si="100">E137+1</f>
        <v>134</v>
      </c>
      <c r="F138" s="74" t="s">
        <v>1005</v>
      </c>
      <c r="G138" s="73" t="s">
        <v>620</v>
      </c>
      <c r="H138" s="73" t="s">
        <v>27</v>
      </c>
      <c r="I138" s="73"/>
      <c r="J138" s="73" t="s">
        <v>1006</v>
      </c>
      <c r="K138" s="74" t="s">
        <v>1007</v>
      </c>
      <c r="L138" s="74" t="s">
        <v>612</v>
      </c>
      <c r="M138" s="73" t="s">
        <v>613</v>
      </c>
      <c r="N138" s="73" t="s">
        <v>623</v>
      </c>
    </row>
    <row r="139" spans="1:14" s="49" customFormat="1" ht="147">
      <c r="A139" s="73">
        <f t="shared" si="98"/>
        <v>135</v>
      </c>
      <c r="B139" s="73" t="s">
        <v>243</v>
      </c>
      <c r="C139" s="73">
        <f t="shared" si="98"/>
        <v>135</v>
      </c>
      <c r="D139" s="73" t="s">
        <v>1008</v>
      </c>
      <c r="E139" s="73">
        <f t="shared" ref="E139" si="101">E138+1</f>
        <v>135</v>
      </c>
      <c r="F139" s="74" t="s">
        <v>1009</v>
      </c>
      <c r="G139" s="73" t="s">
        <v>610</v>
      </c>
      <c r="H139" s="73" t="s">
        <v>27</v>
      </c>
      <c r="I139" s="73" t="s">
        <v>1010</v>
      </c>
      <c r="J139" s="73" t="s">
        <v>1011</v>
      </c>
      <c r="K139" s="73"/>
      <c r="L139" s="74" t="s">
        <v>612</v>
      </c>
      <c r="M139" s="73" t="s">
        <v>613</v>
      </c>
      <c r="N139" s="73" t="s">
        <v>614</v>
      </c>
    </row>
    <row r="140" spans="1:14" s="49" customFormat="1" ht="84">
      <c r="A140" s="73">
        <f t="shared" si="98"/>
        <v>136</v>
      </c>
      <c r="B140" s="73" t="s">
        <v>246</v>
      </c>
      <c r="C140" s="73">
        <f t="shared" si="98"/>
        <v>136</v>
      </c>
      <c r="D140" s="73" t="s">
        <v>1012</v>
      </c>
      <c r="E140" s="73">
        <f t="shared" ref="E140" si="102">E139+1</f>
        <v>136</v>
      </c>
      <c r="F140" s="74" t="s">
        <v>1013</v>
      </c>
      <c r="G140" s="73" t="s">
        <v>620</v>
      </c>
      <c r="H140" s="73" t="s">
        <v>27</v>
      </c>
      <c r="I140" s="73"/>
      <c r="J140" s="73" t="s">
        <v>1014</v>
      </c>
      <c r="K140" s="73"/>
      <c r="L140" s="74" t="s">
        <v>612</v>
      </c>
      <c r="M140" s="73" t="s">
        <v>613</v>
      </c>
      <c r="N140" s="73" t="s">
        <v>623</v>
      </c>
    </row>
    <row r="141" spans="1:14" s="49" customFormat="1" ht="84">
      <c r="A141" s="73">
        <f t="shared" si="98"/>
        <v>137</v>
      </c>
      <c r="B141" s="73" t="s">
        <v>1015</v>
      </c>
      <c r="C141" s="73">
        <f t="shared" si="98"/>
        <v>137</v>
      </c>
      <c r="D141" s="74" t="s">
        <v>1016</v>
      </c>
      <c r="E141" s="73">
        <f t="shared" ref="E141" si="103">E140+1</f>
        <v>137</v>
      </c>
      <c r="F141" s="74" t="s">
        <v>1017</v>
      </c>
      <c r="G141" s="73" t="s">
        <v>610</v>
      </c>
      <c r="H141" s="73" t="s">
        <v>27</v>
      </c>
      <c r="I141" s="73"/>
      <c r="J141" s="73" t="s">
        <v>1018</v>
      </c>
      <c r="K141" s="74"/>
      <c r="L141" s="74" t="s">
        <v>612</v>
      </c>
      <c r="M141" s="73" t="s">
        <v>613</v>
      </c>
      <c r="N141" s="73" t="s">
        <v>614</v>
      </c>
    </row>
    <row r="142" spans="1:14" s="49" customFormat="1" ht="52.5">
      <c r="A142" s="73">
        <f t="shared" si="98"/>
        <v>138</v>
      </c>
      <c r="B142" s="73" t="s">
        <v>249</v>
      </c>
      <c r="C142" s="73">
        <f t="shared" si="98"/>
        <v>138</v>
      </c>
      <c r="D142" s="74" t="s">
        <v>250</v>
      </c>
      <c r="E142" s="73">
        <f t="shared" ref="E142" si="104">E141+1</f>
        <v>138</v>
      </c>
      <c r="F142" s="74" t="s">
        <v>1019</v>
      </c>
      <c r="G142" s="73" t="s">
        <v>958</v>
      </c>
      <c r="H142" s="73" t="s">
        <v>20</v>
      </c>
      <c r="I142" s="73"/>
      <c r="J142" s="73" t="s">
        <v>1020</v>
      </c>
      <c r="K142" s="74"/>
      <c r="L142" s="74" t="s">
        <v>612</v>
      </c>
      <c r="M142" s="73" t="s">
        <v>613</v>
      </c>
      <c r="N142" s="73" t="s">
        <v>958</v>
      </c>
    </row>
    <row r="143" spans="1:14" s="49" customFormat="1" ht="73.5">
      <c r="A143" s="73">
        <f t="shared" si="98"/>
        <v>139</v>
      </c>
      <c r="B143" s="73" t="s">
        <v>252</v>
      </c>
      <c r="C143" s="73">
        <f t="shared" si="98"/>
        <v>139</v>
      </c>
      <c r="D143" s="74" t="s">
        <v>253</v>
      </c>
      <c r="E143" s="73">
        <f t="shared" ref="E143" si="105">E142+1</f>
        <v>139</v>
      </c>
      <c r="F143" s="74" t="s">
        <v>1021</v>
      </c>
      <c r="G143" s="73" t="s">
        <v>610</v>
      </c>
      <c r="H143" s="73" t="s">
        <v>27</v>
      </c>
      <c r="I143" s="73"/>
      <c r="J143" s="73" t="s">
        <v>1022</v>
      </c>
      <c r="K143" s="74"/>
      <c r="L143" s="74" t="s">
        <v>612</v>
      </c>
      <c r="M143" s="73" t="s">
        <v>613</v>
      </c>
      <c r="N143" s="73" t="s">
        <v>614</v>
      </c>
    </row>
    <row r="144" spans="1:14" s="49" customFormat="1" ht="42">
      <c r="A144" s="73">
        <f t="shared" si="98"/>
        <v>140</v>
      </c>
      <c r="B144" s="73" t="s">
        <v>255</v>
      </c>
      <c r="C144" s="73">
        <f t="shared" si="98"/>
        <v>140</v>
      </c>
      <c r="D144" s="74" t="s">
        <v>256</v>
      </c>
      <c r="E144" s="73">
        <f t="shared" ref="E144" si="106">E143+1</f>
        <v>140</v>
      </c>
      <c r="F144" s="74" t="s">
        <v>1023</v>
      </c>
      <c r="G144" s="73" t="s">
        <v>958</v>
      </c>
      <c r="H144" s="73" t="s">
        <v>27</v>
      </c>
      <c r="I144" s="73"/>
      <c r="J144" s="73" t="s">
        <v>1024</v>
      </c>
      <c r="K144" s="74"/>
      <c r="L144" s="74" t="s">
        <v>612</v>
      </c>
      <c r="M144" s="73" t="s">
        <v>613</v>
      </c>
      <c r="N144" s="73" t="s">
        <v>958</v>
      </c>
    </row>
    <row r="145" spans="1:14" s="49" customFormat="1" ht="42">
      <c r="A145" s="73">
        <f t="shared" si="98"/>
        <v>141</v>
      </c>
      <c r="B145" s="73" t="s">
        <v>258</v>
      </c>
      <c r="C145" s="73">
        <f t="shared" si="98"/>
        <v>141</v>
      </c>
      <c r="D145" s="74" t="s">
        <v>258</v>
      </c>
      <c r="E145" s="73">
        <f t="shared" ref="E145" si="107">E144+1</f>
        <v>141</v>
      </c>
      <c r="F145" s="74" t="s">
        <v>1025</v>
      </c>
      <c r="G145" s="73" t="s">
        <v>610</v>
      </c>
      <c r="H145" s="73" t="s">
        <v>27</v>
      </c>
      <c r="I145" s="73"/>
      <c r="J145" s="73" t="s">
        <v>1026</v>
      </c>
      <c r="K145" s="74"/>
      <c r="L145" s="74" t="s">
        <v>612</v>
      </c>
      <c r="M145" s="73" t="s">
        <v>613</v>
      </c>
      <c r="N145" s="73" t="s">
        <v>614</v>
      </c>
    </row>
    <row r="146" spans="1:14" s="49" customFormat="1" ht="73.5">
      <c r="A146" s="73">
        <f t="shared" si="98"/>
        <v>142</v>
      </c>
      <c r="B146" s="73" t="s">
        <v>1027</v>
      </c>
      <c r="C146" s="73">
        <f t="shared" si="98"/>
        <v>142</v>
      </c>
      <c r="D146" s="74" t="s">
        <v>1028</v>
      </c>
      <c r="E146" s="73">
        <f t="shared" ref="E146" si="108">E145+1</f>
        <v>142</v>
      </c>
      <c r="F146" s="74" t="s">
        <v>1029</v>
      </c>
      <c r="G146" s="73" t="s">
        <v>610</v>
      </c>
      <c r="H146" s="73" t="s">
        <v>27</v>
      </c>
      <c r="I146" s="73"/>
      <c r="J146" s="73" t="s">
        <v>1030</v>
      </c>
      <c r="K146" s="74"/>
      <c r="L146" s="74" t="s">
        <v>612</v>
      </c>
      <c r="M146" s="73" t="s">
        <v>613</v>
      </c>
      <c r="N146" s="73" t="s">
        <v>614</v>
      </c>
    </row>
    <row r="147" spans="1:14" s="49" customFormat="1" ht="52.5">
      <c r="A147" s="73">
        <f t="shared" si="98"/>
        <v>143</v>
      </c>
      <c r="B147" s="73" t="s">
        <v>1031</v>
      </c>
      <c r="C147" s="73">
        <f t="shared" si="98"/>
        <v>143</v>
      </c>
      <c r="D147" s="74" t="s">
        <v>1032</v>
      </c>
      <c r="E147" s="73">
        <f t="shared" ref="E147" si="109">E146+1</f>
        <v>143</v>
      </c>
      <c r="F147" s="74" t="s">
        <v>1033</v>
      </c>
      <c r="G147" s="73" t="s">
        <v>620</v>
      </c>
      <c r="H147" s="73" t="s">
        <v>27</v>
      </c>
      <c r="I147" s="73"/>
      <c r="J147" s="73" t="s">
        <v>1034</v>
      </c>
      <c r="K147" s="74"/>
      <c r="L147" s="74" t="s">
        <v>612</v>
      </c>
      <c r="M147" s="73" t="s">
        <v>613</v>
      </c>
      <c r="N147" s="73" t="s">
        <v>623</v>
      </c>
    </row>
    <row r="148" spans="1:14" s="49" customFormat="1" ht="42">
      <c r="A148" s="73">
        <f t="shared" si="98"/>
        <v>144</v>
      </c>
      <c r="B148" s="73" t="s">
        <v>260</v>
      </c>
      <c r="C148" s="73">
        <f t="shared" si="98"/>
        <v>144</v>
      </c>
      <c r="D148" s="74" t="s">
        <v>261</v>
      </c>
      <c r="E148" s="73">
        <f t="shared" ref="E148" si="110">E147+1</f>
        <v>144</v>
      </c>
      <c r="F148" s="74" t="s">
        <v>1035</v>
      </c>
      <c r="G148" s="80" t="s">
        <v>745</v>
      </c>
      <c r="H148" s="73" t="s">
        <v>27</v>
      </c>
      <c r="I148" s="73"/>
      <c r="J148" s="73" t="s">
        <v>1036</v>
      </c>
      <c r="K148" s="74"/>
      <c r="L148" s="74" t="s">
        <v>612</v>
      </c>
      <c r="M148" s="73" t="s">
        <v>613</v>
      </c>
      <c r="N148" s="80" t="s">
        <v>747</v>
      </c>
    </row>
    <row r="149" spans="1:14" s="49" customFormat="1" ht="31.5">
      <c r="A149" s="73">
        <f t="shared" si="98"/>
        <v>145</v>
      </c>
      <c r="B149" s="73" t="s">
        <v>1037</v>
      </c>
      <c r="C149" s="73">
        <f t="shared" si="98"/>
        <v>145</v>
      </c>
      <c r="D149" s="74" t="s">
        <v>1037</v>
      </c>
      <c r="E149" s="73">
        <f t="shared" ref="E149" si="111">E148+1</f>
        <v>145</v>
      </c>
      <c r="F149" s="74" t="s">
        <v>1038</v>
      </c>
      <c r="G149" s="73" t="s">
        <v>958</v>
      </c>
      <c r="H149" s="73" t="s">
        <v>27</v>
      </c>
      <c r="I149" s="73"/>
      <c r="J149" s="73" t="s">
        <v>1039</v>
      </c>
      <c r="K149" s="74"/>
      <c r="L149" s="74" t="s">
        <v>612</v>
      </c>
      <c r="M149" s="73" t="s">
        <v>613</v>
      </c>
      <c r="N149" s="73" t="s">
        <v>958</v>
      </c>
    </row>
    <row r="150" spans="1:14" s="49" customFormat="1" ht="73.5">
      <c r="A150" s="73">
        <f t="shared" si="98"/>
        <v>146</v>
      </c>
      <c r="B150" s="73" t="s">
        <v>263</v>
      </c>
      <c r="C150" s="73">
        <f t="shared" si="98"/>
        <v>146</v>
      </c>
      <c r="D150" s="74" t="s">
        <v>264</v>
      </c>
      <c r="E150" s="73">
        <f t="shared" ref="E150" si="112">E149+1</f>
        <v>146</v>
      </c>
      <c r="F150" s="74" t="s">
        <v>1040</v>
      </c>
      <c r="G150" s="73" t="s">
        <v>610</v>
      </c>
      <c r="H150" s="73" t="s">
        <v>27</v>
      </c>
      <c r="I150" s="73"/>
      <c r="J150" s="73" t="s">
        <v>1041</v>
      </c>
      <c r="K150" s="74"/>
      <c r="L150" s="74" t="s">
        <v>612</v>
      </c>
      <c r="M150" s="73" t="s">
        <v>613</v>
      </c>
      <c r="N150" s="73" t="s">
        <v>614</v>
      </c>
    </row>
    <row r="151" spans="1:14" s="49" customFormat="1" ht="52.5">
      <c r="A151" s="73">
        <f t="shared" si="98"/>
        <v>147</v>
      </c>
      <c r="B151" s="73" t="s">
        <v>266</v>
      </c>
      <c r="C151" s="73">
        <f t="shared" si="98"/>
        <v>147</v>
      </c>
      <c r="D151" s="74" t="s">
        <v>267</v>
      </c>
      <c r="E151" s="73">
        <f t="shared" ref="E151" si="113">E150+1</f>
        <v>147</v>
      </c>
      <c r="F151" s="74" t="s">
        <v>1042</v>
      </c>
      <c r="G151" s="73" t="s">
        <v>610</v>
      </c>
      <c r="H151" s="73" t="s">
        <v>27</v>
      </c>
      <c r="I151" s="73"/>
      <c r="J151" s="73" t="s">
        <v>1043</v>
      </c>
      <c r="K151" s="74"/>
      <c r="L151" s="74" t="s">
        <v>612</v>
      </c>
      <c r="M151" s="73" t="s">
        <v>613</v>
      </c>
      <c r="N151" s="73" t="s">
        <v>614</v>
      </c>
    </row>
    <row r="152" spans="1:14" s="49" customFormat="1" ht="63">
      <c r="A152" s="73">
        <f t="shared" si="98"/>
        <v>148</v>
      </c>
      <c r="B152" s="73" t="s">
        <v>1044</v>
      </c>
      <c r="C152" s="73">
        <f t="shared" si="98"/>
        <v>148</v>
      </c>
      <c r="D152" s="74" t="s">
        <v>1045</v>
      </c>
      <c r="E152" s="73">
        <f t="shared" ref="E152" si="114">E151+1</f>
        <v>148</v>
      </c>
      <c r="F152" s="74" t="s">
        <v>1046</v>
      </c>
      <c r="G152" s="73" t="s">
        <v>610</v>
      </c>
      <c r="H152" s="73" t="s">
        <v>27</v>
      </c>
      <c r="I152" s="73"/>
      <c r="J152" s="73" t="s">
        <v>1047</v>
      </c>
      <c r="K152" s="74"/>
      <c r="L152" s="74" t="s">
        <v>612</v>
      </c>
      <c r="M152" s="73" t="s">
        <v>613</v>
      </c>
      <c r="N152" s="73" t="s">
        <v>614</v>
      </c>
    </row>
    <row r="153" spans="1:14" s="49" customFormat="1" ht="73.5">
      <c r="A153" s="73">
        <f t="shared" si="98"/>
        <v>149</v>
      </c>
      <c r="B153" s="80" t="s">
        <v>269</v>
      </c>
      <c r="C153" s="73">
        <f t="shared" si="98"/>
        <v>149</v>
      </c>
      <c r="D153" s="79" t="s">
        <v>270</v>
      </c>
      <c r="E153" s="73">
        <f t="shared" ref="E153" si="115">E152+1</f>
        <v>149</v>
      </c>
      <c r="F153" s="74" t="s">
        <v>1048</v>
      </c>
      <c r="G153" s="78" t="s">
        <v>610</v>
      </c>
      <c r="H153" s="73" t="s">
        <v>27</v>
      </c>
      <c r="I153" s="73"/>
      <c r="J153" s="73" t="s">
        <v>1049</v>
      </c>
      <c r="K153" s="79"/>
      <c r="L153" s="74" t="s">
        <v>612</v>
      </c>
      <c r="M153" s="73" t="s">
        <v>613</v>
      </c>
      <c r="N153" s="78" t="s">
        <v>623</v>
      </c>
    </row>
    <row r="154" spans="1:14" s="49" customFormat="1" ht="73.5">
      <c r="A154" s="73">
        <f t="shared" si="98"/>
        <v>150</v>
      </c>
      <c r="B154" s="80" t="s">
        <v>272</v>
      </c>
      <c r="C154" s="73">
        <f t="shared" si="98"/>
        <v>150</v>
      </c>
      <c r="D154" s="79" t="s">
        <v>273</v>
      </c>
      <c r="E154" s="73">
        <f t="shared" ref="E154" si="116">E153+1</f>
        <v>150</v>
      </c>
      <c r="F154" s="74" t="s">
        <v>1050</v>
      </c>
      <c r="G154" s="78" t="s">
        <v>635</v>
      </c>
      <c r="H154" s="73" t="s">
        <v>27</v>
      </c>
      <c r="I154" s="73"/>
      <c r="J154" s="73" t="s">
        <v>1051</v>
      </c>
      <c r="K154" s="79"/>
      <c r="L154" s="74" t="s">
        <v>612</v>
      </c>
      <c r="M154" s="73" t="s">
        <v>613</v>
      </c>
      <c r="N154" s="78" t="s">
        <v>637</v>
      </c>
    </row>
    <row r="155" spans="1:14" s="49" customFormat="1" ht="73.5">
      <c r="A155" s="73">
        <f t="shared" si="98"/>
        <v>151</v>
      </c>
      <c r="B155" s="80" t="s">
        <v>275</v>
      </c>
      <c r="C155" s="73">
        <f t="shared" si="98"/>
        <v>151</v>
      </c>
      <c r="D155" s="79" t="s">
        <v>276</v>
      </c>
      <c r="E155" s="73">
        <f t="shared" ref="E155" si="117">E154+1</f>
        <v>151</v>
      </c>
      <c r="F155" s="74" t="s">
        <v>1052</v>
      </c>
      <c r="G155" s="78" t="s">
        <v>635</v>
      </c>
      <c r="H155" s="73" t="s">
        <v>27</v>
      </c>
      <c r="I155" s="73"/>
      <c r="J155" s="73" t="s">
        <v>1053</v>
      </c>
      <c r="K155" s="79"/>
      <c r="L155" s="74" t="s">
        <v>612</v>
      </c>
      <c r="M155" s="73" t="s">
        <v>613</v>
      </c>
      <c r="N155" s="78" t="s">
        <v>637</v>
      </c>
    </row>
    <row r="156" spans="1:14" s="49" customFormat="1" ht="73.5">
      <c r="A156" s="73">
        <f t="shared" si="98"/>
        <v>152</v>
      </c>
      <c r="B156" s="80" t="s">
        <v>278</v>
      </c>
      <c r="C156" s="73">
        <f t="shared" si="98"/>
        <v>152</v>
      </c>
      <c r="D156" s="79" t="s">
        <v>279</v>
      </c>
      <c r="E156" s="73">
        <f t="shared" ref="E156" si="118">E155+1</f>
        <v>152</v>
      </c>
      <c r="F156" s="74" t="s">
        <v>1054</v>
      </c>
      <c r="G156" s="78" t="s">
        <v>635</v>
      </c>
      <c r="H156" s="73" t="s">
        <v>27</v>
      </c>
      <c r="I156" s="73"/>
      <c r="J156" s="73" t="s">
        <v>1055</v>
      </c>
      <c r="K156" s="79"/>
      <c r="L156" s="74" t="s">
        <v>612</v>
      </c>
      <c r="M156" s="73" t="s">
        <v>613</v>
      </c>
      <c r="N156" s="78" t="s">
        <v>637</v>
      </c>
    </row>
    <row r="157" spans="1:14" s="49" customFormat="1" ht="73.5">
      <c r="A157" s="73">
        <f t="shared" si="98"/>
        <v>153</v>
      </c>
      <c r="B157" s="80" t="s">
        <v>1056</v>
      </c>
      <c r="C157" s="73">
        <f t="shared" si="98"/>
        <v>153</v>
      </c>
      <c r="D157" s="79" t="s">
        <v>1057</v>
      </c>
      <c r="E157" s="73">
        <f t="shared" ref="E157" si="119">E156+1</f>
        <v>153</v>
      </c>
      <c r="F157" s="74" t="s">
        <v>1058</v>
      </c>
      <c r="G157" s="78" t="s">
        <v>635</v>
      </c>
      <c r="H157" s="73" t="s">
        <v>27</v>
      </c>
      <c r="I157" s="73"/>
      <c r="J157" s="73" t="s">
        <v>1059</v>
      </c>
      <c r="K157" s="79"/>
      <c r="L157" s="74" t="s">
        <v>612</v>
      </c>
      <c r="M157" s="73" t="s">
        <v>613</v>
      </c>
      <c r="N157" s="78" t="s">
        <v>637</v>
      </c>
    </row>
    <row r="158" spans="1:14" s="49" customFormat="1" ht="73.5">
      <c r="A158" s="73">
        <f t="shared" si="98"/>
        <v>154</v>
      </c>
      <c r="B158" s="80" t="s">
        <v>1060</v>
      </c>
      <c r="C158" s="73">
        <f t="shared" si="98"/>
        <v>154</v>
      </c>
      <c r="D158" s="79" t="s">
        <v>1061</v>
      </c>
      <c r="E158" s="73">
        <f t="shared" ref="E158" si="120">E157+1</f>
        <v>154</v>
      </c>
      <c r="F158" s="74" t="s">
        <v>1062</v>
      </c>
      <c r="G158" s="78" t="s">
        <v>635</v>
      </c>
      <c r="H158" s="73" t="s">
        <v>27</v>
      </c>
      <c r="I158" s="73"/>
      <c r="J158" s="73" t="s">
        <v>1063</v>
      </c>
      <c r="K158" s="79"/>
      <c r="L158" s="74" t="s">
        <v>612</v>
      </c>
      <c r="M158" s="73" t="s">
        <v>613</v>
      </c>
      <c r="N158" s="78" t="s">
        <v>637</v>
      </c>
    </row>
    <row r="159" spans="1:14" s="49" customFormat="1" ht="73.5">
      <c r="A159" s="73">
        <f t="shared" si="98"/>
        <v>155</v>
      </c>
      <c r="B159" s="80" t="s">
        <v>281</v>
      </c>
      <c r="C159" s="73">
        <f t="shared" si="98"/>
        <v>155</v>
      </c>
      <c r="D159" s="79" t="s">
        <v>282</v>
      </c>
      <c r="E159" s="73">
        <f t="shared" ref="E159" si="121">E158+1</f>
        <v>155</v>
      </c>
      <c r="F159" s="74" t="s">
        <v>1064</v>
      </c>
      <c r="G159" s="78" t="s">
        <v>610</v>
      </c>
      <c r="H159" s="73" t="s">
        <v>27</v>
      </c>
      <c r="I159" s="73"/>
      <c r="J159" s="73" t="s">
        <v>1065</v>
      </c>
      <c r="K159" s="79"/>
      <c r="L159" s="74" t="s">
        <v>612</v>
      </c>
      <c r="M159" s="73" t="s">
        <v>613</v>
      </c>
      <c r="N159" s="78" t="s">
        <v>623</v>
      </c>
    </row>
    <row r="160" spans="1:14" s="49" customFormat="1" ht="73.5">
      <c r="A160" s="73">
        <f t="shared" si="98"/>
        <v>156</v>
      </c>
      <c r="B160" s="80" t="s">
        <v>1066</v>
      </c>
      <c r="C160" s="73">
        <f t="shared" si="98"/>
        <v>156</v>
      </c>
      <c r="D160" s="79" t="s">
        <v>1067</v>
      </c>
      <c r="E160" s="73">
        <f t="shared" ref="E160" si="122">E159+1</f>
        <v>156</v>
      </c>
      <c r="F160" s="74" t="s">
        <v>1068</v>
      </c>
      <c r="G160" s="78" t="s">
        <v>610</v>
      </c>
      <c r="H160" s="73" t="s">
        <v>27</v>
      </c>
      <c r="I160" s="73"/>
      <c r="J160" s="73" t="s">
        <v>1069</v>
      </c>
      <c r="K160" s="79"/>
      <c r="L160" s="74" t="s">
        <v>612</v>
      </c>
      <c r="M160" s="73" t="s">
        <v>613</v>
      </c>
      <c r="N160" s="78" t="s">
        <v>623</v>
      </c>
    </row>
    <row r="161" spans="1:14" s="49" customFormat="1" ht="73.5">
      <c r="A161" s="73">
        <f t="shared" si="98"/>
        <v>157</v>
      </c>
      <c r="B161" s="80" t="s">
        <v>284</v>
      </c>
      <c r="C161" s="73">
        <f t="shared" si="98"/>
        <v>157</v>
      </c>
      <c r="D161" s="79" t="s">
        <v>285</v>
      </c>
      <c r="E161" s="73">
        <f t="shared" ref="E161" si="123">E160+1</f>
        <v>157</v>
      </c>
      <c r="F161" s="74" t="s">
        <v>1070</v>
      </c>
      <c r="G161" s="78" t="s">
        <v>610</v>
      </c>
      <c r="H161" s="73" t="s">
        <v>27</v>
      </c>
      <c r="I161" s="73"/>
      <c r="J161" s="73" t="s">
        <v>1071</v>
      </c>
      <c r="K161" s="79"/>
      <c r="L161" s="74" t="s">
        <v>612</v>
      </c>
      <c r="M161" s="73" t="s">
        <v>613</v>
      </c>
      <c r="N161" s="78" t="s">
        <v>623</v>
      </c>
    </row>
    <row r="162" spans="1:14" s="49" customFormat="1" ht="73.5">
      <c r="A162" s="73">
        <f t="shared" si="98"/>
        <v>158</v>
      </c>
      <c r="B162" s="80" t="s">
        <v>287</v>
      </c>
      <c r="C162" s="73">
        <f t="shared" si="98"/>
        <v>158</v>
      </c>
      <c r="D162" s="79" t="s">
        <v>288</v>
      </c>
      <c r="E162" s="73">
        <f t="shared" ref="E162" si="124">E161+1</f>
        <v>158</v>
      </c>
      <c r="F162" s="74" t="s">
        <v>1072</v>
      </c>
      <c r="G162" s="78" t="s">
        <v>610</v>
      </c>
      <c r="H162" s="73" t="s">
        <v>27</v>
      </c>
      <c r="I162" s="73"/>
      <c r="J162" s="73" t="s">
        <v>1073</v>
      </c>
      <c r="K162" s="79"/>
      <c r="L162" s="74" t="s">
        <v>612</v>
      </c>
      <c r="M162" s="73" t="s">
        <v>613</v>
      </c>
      <c r="N162" s="78" t="s">
        <v>623</v>
      </c>
    </row>
    <row r="163" spans="1:14" s="49" customFormat="1" ht="73.5">
      <c r="A163" s="73">
        <f t="shared" si="98"/>
        <v>159</v>
      </c>
      <c r="B163" s="80" t="s">
        <v>290</v>
      </c>
      <c r="C163" s="73">
        <f t="shared" si="98"/>
        <v>159</v>
      </c>
      <c r="D163" s="79" t="s">
        <v>291</v>
      </c>
      <c r="E163" s="73">
        <f t="shared" ref="E163" si="125">E162+1</f>
        <v>159</v>
      </c>
      <c r="F163" s="74" t="s">
        <v>1074</v>
      </c>
      <c r="G163" s="78" t="s">
        <v>610</v>
      </c>
      <c r="H163" s="73" t="s">
        <v>27</v>
      </c>
      <c r="I163" s="73"/>
      <c r="J163" s="73" t="s">
        <v>1075</v>
      </c>
      <c r="K163" s="79"/>
      <c r="L163" s="74" t="s">
        <v>612</v>
      </c>
      <c r="M163" s="73" t="s">
        <v>613</v>
      </c>
      <c r="N163" s="78" t="s">
        <v>623</v>
      </c>
    </row>
    <row r="164" spans="1:14" s="49" customFormat="1" ht="52.5">
      <c r="A164" s="73">
        <f t="shared" si="98"/>
        <v>160</v>
      </c>
      <c r="B164" s="73" t="s">
        <v>1076</v>
      </c>
      <c r="C164" s="73">
        <f t="shared" si="98"/>
        <v>160</v>
      </c>
      <c r="D164" s="74" t="s">
        <v>1077</v>
      </c>
      <c r="E164" s="73">
        <f t="shared" ref="E164" si="126">E163+1</f>
        <v>160</v>
      </c>
      <c r="F164" s="74" t="s">
        <v>1078</v>
      </c>
      <c r="G164" s="73" t="s">
        <v>610</v>
      </c>
      <c r="H164" s="73" t="s">
        <v>27</v>
      </c>
      <c r="I164" s="73"/>
      <c r="J164" s="73" t="s">
        <v>1079</v>
      </c>
      <c r="K164" s="74"/>
      <c r="L164" s="74" t="s">
        <v>612</v>
      </c>
      <c r="M164" s="73" t="s">
        <v>613</v>
      </c>
      <c r="N164" s="73" t="s">
        <v>614</v>
      </c>
    </row>
    <row r="165" spans="1:14" s="49" customFormat="1" ht="73.5">
      <c r="A165" s="73">
        <f t="shared" si="98"/>
        <v>161</v>
      </c>
      <c r="B165" s="73" t="s">
        <v>1080</v>
      </c>
      <c r="C165" s="73">
        <f t="shared" si="98"/>
        <v>161</v>
      </c>
      <c r="D165" s="74" t="s">
        <v>1081</v>
      </c>
      <c r="E165" s="73">
        <f t="shared" ref="E165" si="127">E164+1</f>
        <v>161</v>
      </c>
      <c r="F165" s="74" t="s">
        <v>1082</v>
      </c>
      <c r="G165" s="73" t="s">
        <v>610</v>
      </c>
      <c r="H165" s="73" t="s">
        <v>27</v>
      </c>
      <c r="I165" s="73"/>
      <c r="J165" s="73" t="s">
        <v>1083</v>
      </c>
      <c r="K165" s="74"/>
      <c r="L165" s="74" t="s">
        <v>612</v>
      </c>
      <c r="M165" s="73" t="s">
        <v>613</v>
      </c>
      <c r="N165" s="73" t="s">
        <v>614</v>
      </c>
    </row>
    <row r="166" spans="1:14" s="49" customFormat="1" ht="84">
      <c r="A166" s="73">
        <f t="shared" si="98"/>
        <v>162</v>
      </c>
      <c r="B166" s="80" t="s">
        <v>1084</v>
      </c>
      <c r="C166" s="73">
        <f t="shared" si="98"/>
        <v>162</v>
      </c>
      <c r="D166" s="79" t="s">
        <v>1085</v>
      </c>
      <c r="E166" s="73">
        <f t="shared" ref="E166" si="128">E165+1</f>
        <v>162</v>
      </c>
      <c r="F166" s="74" t="s">
        <v>1086</v>
      </c>
      <c r="G166" s="78" t="s">
        <v>610</v>
      </c>
      <c r="H166" s="73" t="s">
        <v>27</v>
      </c>
      <c r="I166" s="73"/>
      <c r="J166" s="73" t="s">
        <v>1087</v>
      </c>
      <c r="K166" s="79"/>
      <c r="L166" s="74" t="s">
        <v>612</v>
      </c>
      <c r="M166" s="73" t="s">
        <v>613</v>
      </c>
      <c r="N166" s="78" t="s">
        <v>623</v>
      </c>
    </row>
    <row r="167" spans="1:14" s="49" customFormat="1" ht="84">
      <c r="A167" s="73">
        <f t="shared" si="98"/>
        <v>163</v>
      </c>
      <c r="B167" s="80" t="s">
        <v>1088</v>
      </c>
      <c r="C167" s="73">
        <f t="shared" si="98"/>
        <v>163</v>
      </c>
      <c r="D167" s="79" t="s">
        <v>1089</v>
      </c>
      <c r="E167" s="73">
        <f t="shared" ref="E167" si="129">E166+1</f>
        <v>163</v>
      </c>
      <c r="F167" s="74" t="s">
        <v>1090</v>
      </c>
      <c r="G167" s="78" t="s">
        <v>635</v>
      </c>
      <c r="H167" s="73" t="s">
        <v>27</v>
      </c>
      <c r="I167" s="73"/>
      <c r="J167" s="73" t="s">
        <v>1091</v>
      </c>
      <c r="K167" s="79"/>
      <c r="L167" s="74" t="s">
        <v>612</v>
      </c>
      <c r="M167" s="73" t="s">
        <v>613</v>
      </c>
      <c r="N167" s="78" t="s">
        <v>637</v>
      </c>
    </row>
    <row r="168" spans="1:14" s="49" customFormat="1" ht="84">
      <c r="A168" s="73">
        <f t="shared" si="98"/>
        <v>164</v>
      </c>
      <c r="B168" s="80" t="s">
        <v>1092</v>
      </c>
      <c r="C168" s="73">
        <f t="shared" si="98"/>
        <v>164</v>
      </c>
      <c r="D168" s="79" t="s">
        <v>1093</v>
      </c>
      <c r="E168" s="73">
        <f t="shared" ref="E168" si="130">E167+1</f>
        <v>164</v>
      </c>
      <c r="F168" s="74" t="s">
        <v>1094</v>
      </c>
      <c r="G168" s="78" t="s">
        <v>635</v>
      </c>
      <c r="H168" s="73" t="s">
        <v>27</v>
      </c>
      <c r="I168" s="73"/>
      <c r="J168" s="73" t="s">
        <v>1095</v>
      </c>
      <c r="K168" s="79"/>
      <c r="L168" s="74" t="s">
        <v>612</v>
      </c>
      <c r="M168" s="73" t="s">
        <v>613</v>
      </c>
      <c r="N168" s="78" t="s">
        <v>637</v>
      </c>
    </row>
    <row r="169" spans="1:14" s="49" customFormat="1" ht="84">
      <c r="A169" s="73">
        <f t="shared" si="98"/>
        <v>165</v>
      </c>
      <c r="B169" s="80" t="s">
        <v>1096</v>
      </c>
      <c r="C169" s="73">
        <f t="shared" si="98"/>
        <v>165</v>
      </c>
      <c r="D169" s="79" t="s">
        <v>1097</v>
      </c>
      <c r="E169" s="73">
        <f t="shared" ref="E169" si="131">E168+1</f>
        <v>165</v>
      </c>
      <c r="F169" s="74" t="s">
        <v>1098</v>
      </c>
      <c r="G169" s="78" t="s">
        <v>635</v>
      </c>
      <c r="H169" s="73" t="s">
        <v>27</v>
      </c>
      <c r="I169" s="73"/>
      <c r="J169" s="73" t="s">
        <v>1099</v>
      </c>
      <c r="K169" s="79"/>
      <c r="L169" s="74" t="s">
        <v>612</v>
      </c>
      <c r="M169" s="73" t="s">
        <v>613</v>
      </c>
      <c r="N169" s="78" t="s">
        <v>637</v>
      </c>
    </row>
    <row r="170" spans="1:14" s="49" customFormat="1" ht="84">
      <c r="A170" s="73">
        <f t="shared" si="98"/>
        <v>166</v>
      </c>
      <c r="B170" s="80" t="s">
        <v>1100</v>
      </c>
      <c r="C170" s="73">
        <f t="shared" si="98"/>
        <v>166</v>
      </c>
      <c r="D170" s="79" t="s">
        <v>1101</v>
      </c>
      <c r="E170" s="73">
        <f t="shared" ref="E170" si="132">E169+1</f>
        <v>166</v>
      </c>
      <c r="F170" s="74" t="s">
        <v>1102</v>
      </c>
      <c r="G170" s="78" t="s">
        <v>635</v>
      </c>
      <c r="H170" s="73" t="s">
        <v>27</v>
      </c>
      <c r="I170" s="73"/>
      <c r="J170" s="73" t="s">
        <v>1103</v>
      </c>
      <c r="K170" s="79"/>
      <c r="L170" s="74" t="s">
        <v>612</v>
      </c>
      <c r="M170" s="73" t="s">
        <v>613</v>
      </c>
      <c r="N170" s="78" t="s">
        <v>637</v>
      </c>
    </row>
    <row r="171" spans="1:14" s="49" customFormat="1" ht="84">
      <c r="A171" s="73">
        <f t="shared" si="98"/>
        <v>167</v>
      </c>
      <c r="B171" s="80" t="s">
        <v>1104</v>
      </c>
      <c r="C171" s="73">
        <f t="shared" si="98"/>
        <v>167</v>
      </c>
      <c r="D171" s="79" t="s">
        <v>1105</v>
      </c>
      <c r="E171" s="73">
        <f t="shared" ref="E171" si="133">E170+1</f>
        <v>167</v>
      </c>
      <c r="F171" s="74" t="s">
        <v>1106</v>
      </c>
      <c r="G171" s="78" t="s">
        <v>635</v>
      </c>
      <c r="H171" s="73" t="s">
        <v>27</v>
      </c>
      <c r="I171" s="73"/>
      <c r="J171" s="73" t="s">
        <v>1107</v>
      </c>
      <c r="K171" s="79"/>
      <c r="L171" s="74" t="s">
        <v>612</v>
      </c>
      <c r="M171" s="73" t="s">
        <v>613</v>
      </c>
      <c r="N171" s="78" t="s">
        <v>637</v>
      </c>
    </row>
    <row r="172" spans="1:14" s="49" customFormat="1" ht="84">
      <c r="A172" s="73">
        <f t="shared" si="98"/>
        <v>168</v>
      </c>
      <c r="B172" s="80" t="s">
        <v>1108</v>
      </c>
      <c r="C172" s="73">
        <f t="shared" si="98"/>
        <v>168</v>
      </c>
      <c r="D172" s="79" t="s">
        <v>1109</v>
      </c>
      <c r="E172" s="73">
        <f t="shared" ref="E172" si="134">E171+1</f>
        <v>168</v>
      </c>
      <c r="F172" s="74" t="s">
        <v>1110</v>
      </c>
      <c r="G172" s="78" t="s">
        <v>610</v>
      </c>
      <c r="H172" s="73" t="s">
        <v>27</v>
      </c>
      <c r="I172" s="73"/>
      <c r="J172" s="73" t="s">
        <v>1111</v>
      </c>
      <c r="K172" s="79"/>
      <c r="L172" s="74" t="s">
        <v>612</v>
      </c>
      <c r="M172" s="73" t="s">
        <v>613</v>
      </c>
      <c r="N172" s="78" t="s">
        <v>623</v>
      </c>
    </row>
    <row r="173" spans="1:14" s="49" customFormat="1" ht="84">
      <c r="A173" s="73">
        <f t="shared" si="98"/>
        <v>169</v>
      </c>
      <c r="B173" s="80" t="s">
        <v>1112</v>
      </c>
      <c r="C173" s="73">
        <f t="shared" si="98"/>
        <v>169</v>
      </c>
      <c r="D173" s="79" t="s">
        <v>1113</v>
      </c>
      <c r="E173" s="73">
        <f t="shared" ref="E173" si="135">E172+1</f>
        <v>169</v>
      </c>
      <c r="F173" s="74" t="s">
        <v>1114</v>
      </c>
      <c r="G173" s="78" t="s">
        <v>610</v>
      </c>
      <c r="H173" s="73" t="s">
        <v>27</v>
      </c>
      <c r="I173" s="73"/>
      <c r="J173" s="73" t="s">
        <v>1115</v>
      </c>
      <c r="K173" s="79"/>
      <c r="L173" s="74" t="s">
        <v>612</v>
      </c>
      <c r="M173" s="73" t="s">
        <v>613</v>
      </c>
      <c r="N173" s="78" t="s">
        <v>623</v>
      </c>
    </row>
    <row r="174" spans="1:14" s="49" customFormat="1" ht="84">
      <c r="A174" s="73">
        <f t="shared" si="98"/>
        <v>170</v>
      </c>
      <c r="B174" s="80" t="s">
        <v>1116</v>
      </c>
      <c r="C174" s="73">
        <f t="shared" si="98"/>
        <v>170</v>
      </c>
      <c r="D174" s="79" t="s">
        <v>1117</v>
      </c>
      <c r="E174" s="73">
        <f t="shared" ref="E174" si="136">E173+1</f>
        <v>170</v>
      </c>
      <c r="F174" s="74" t="s">
        <v>1118</v>
      </c>
      <c r="G174" s="78" t="s">
        <v>610</v>
      </c>
      <c r="H174" s="73" t="s">
        <v>27</v>
      </c>
      <c r="I174" s="73"/>
      <c r="J174" s="73" t="s">
        <v>1119</v>
      </c>
      <c r="K174" s="79"/>
      <c r="L174" s="74" t="s">
        <v>612</v>
      </c>
      <c r="M174" s="73" t="s">
        <v>613</v>
      </c>
      <c r="N174" s="78" t="s">
        <v>623</v>
      </c>
    </row>
    <row r="175" spans="1:14" s="49" customFormat="1" ht="84">
      <c r="A175" s="73">
        <f t="shared" si="98"/>
        <v>171</v>
      </c>
      <c r="B175" s="80" t="s">
        <v>1120</v>
      </c>
      <c r="C175" s="73">
        <f t="shared" si="98"/>
        <v>171</v>
      </c>
      <c r="D175" s="79" t="s">
        <v>1121</v>
      </c>
      <c r="E175" s="73">
        <f t="shared" ref="E175" si="137">E174+1</f>
        <v>171</v>
      </c>
      <c r="F175" s="74" t="s">
        <v>1122</v>
      </c>
      <c r="G175" s="78" t="s">
        <v>610</v>
      </c>
      <c r="H175" s="73" t="s">
        <v>27</v>
      </c>
      <c r="I175" s="73"/>
      <c r="J175" s="73" t="s">
        <v>1123</v>
      </c>
      <c r="K175" s="79"/>
      <c r="L175" s="74" t="s">
        <v>612</v>
      </c>
      <c r="M175" s="73" t="s">
        <v>613</v>
      </c>
      <c r="N175" s="78" t="s">
        <v>623</v>
      </c>
    </row>
    <row r="176" spans="1:14" s="49" customFormat="1" ht="84">
      <c r="A176" s="73">
        <f t="shared" si="98"/>
        <v>172</v>
      </c>
      <c r="B176" s="80" t="s">
        <v>1124</v>
      </c>
      <c r="C176" s="73">
        <f t="shared" si="98"/>
        <v>172</v>
      </c>
      <c r="D176" s="79" t="s">
        <v>1125</v>
      </c>
      <c r="E176" s="73">
        <f t="shared" ref="E176" si="138">E175+1</f>
        <v>172</v>
      </c>
      <c r="F176" s="74" t="s">
        <v>1126</v>
      </c>
      <c r="G176" s="78" t="s">
        <v>610</v>
      </c>
      <c r="H176" s="73" t="s">
        <v>27</v>
      </c>
      <c r="I176" s="73"/>
      <c r="J176" s="73" t="s">
        <v>1127</v>
      </c>
      <c r="K176" s="79"/>
      <c r="L176" s="74" t="s">
        <v>612</v>
      </c>
      <c r="M176" s="73" t="s">
        <v>613</v>
      </c>
      <c r="N176" s="78" t="s">
        <v>623</v>
      </c>
    </row>
    <row r="177" spans="1:14" s="49" customFormat="1" ht="52.5">
      <c r="A177" s="73">
        <f t="shared" si="98"/>
        <v>173</v>
      </c>
      <c r="B177" s="73" t="s">
        <v>1128</v>
      </c>
      <c r="C177" s="73">
        <f t="shared" si="98"/>
        <v>173</v>
      </c>
      <c r="D177" s="74" t="s">
        <v>1129</v>
      </c>
      <c r="E177" s="73">
        <f t="shared" ref="E177" si="139">E176+1</f>
        <v>173</v>
      </c>
      <c r="F177" s="74" t="s">
        <v>1130</v>
      </c>
      <c r="G177" s="73" t="s">
        <v>610</v>
      </c>
      <c r="H177" s="73" t="s">
        <v>27</v>
      </c>
      <c r="I177" s="73"/>
      <c r="J177" s="73" t="s">
        <v>1131</v>
      </c>
      <c r="K177" s="74"/>
      <c r="L177" s="74" t="s">
        <v>612</v>
      </c>
      <c r="M177" s="73" t="s">
        <v>613</v>
      </c>
      <c r="N177" s="73" t="s">
        <v>614</v>
      </c>
    </row>
    <row r="178" spans="1:14" s="49" customFormat="1" ht="63">
      <c r="A178" s="73">
        <f t="shared" si="98"/>
        <v>174</v>
      </c>
      <c r="B178" s="73" t="s">
        <v>1132</v>
      </c>
      <c r="C178" s="73">
        <f t="shared" si="98"/>
        <v>174</v>
      </c>
      <c r="D178" s="74" t="s">
        <v>1133</v>
      </c>
      <c r="E178" s="73">
        <f t="shared" ref="E178" si="140">E177+1</f>
        <v>174</v>
      </c>
      <c r="F178" s="74" t="s">
        <v>1134</v>
      </c>
      <c r="G178" s="73" t="s">
        <v>610</v>
      </c>
      <c r="H178" s="73" t="s">
        <v>27</v>
      </c>
      <c r="I178" s="73"/>
      <c r="J178" s="73" t="s">
        <v>1135</v>
      </c>
      <c r="K178" s="74"/>
      <c r="L178" s="74" t="s">
        <v>612</v>
      </c>
      <c r="M178" s="73" t="s">
        <v>613</v>
      </c>
      <c r="N178" s="73" t="s">
        <v>614</v>
      </c>
    </row>
    <row r="179" spans="1:14" s="49" customFormat="1" ht="73.5">
      <c r="A179" s="73">
        <f t="shared" si="98"/>
        <v>175</v>
      </c>
      <c r="B179" s="80" t="s">
        <v>1136</v>
      </c>
      <c r="C179" s="73">
        <f t="shared" si="98"/>
        <v>175</v>
      </c>
      <c r="D179" s="79" t="s">
        <v>1137</v>
      </c>
      <c r="E179" s="73">
        <f t="shared" ref="E179" si="141">E178+1</f>
        <v>175</v>
      </c>
      <c r="F179" s="74" t="s">
        <v>1138</v>
      </c>
      <c r="G179" s="78" t="s">
        <v>610</v>
      </c>
      <c r="H179" s="73" t="s">
        <v>27</v>
      </c>
      <c r="I179" s="73"/>
      <c r="J179" s="73" t="s">
        <v>1139</v>
      </c>
      <c r="K179" s="79"/>
      <c r="L179" s="74" t="s">
        <v>612</v>
      </c>
      <c r="M179" s="73" t="s">
        <v>613</v>
      </c>
      <c r="N179" s="78" t="s">
        <v>623</v>
      </c>
    </row>
    <row r="180" spans="1:14" s="49" customFormat="1" ht="73.5">
      <c r="A180" s="73">
        <f t="shared" si="98"/>
        <v>176</v>
      </c>
      <c r="B180" s="80" t="s">
        <v>1140</v>
      </c>
      <c r="C180" s="73">
        <f t="shared" si="98"/>
        <v>176</v>
      </c>
      <c r="D180" s="79" t="s">
        <v>1141</v>
      </c>
      <c r="E180" s="73">
        <f t="shared" ref="E180" si="142">E179+1</f>
        <v>176</v>
      </c>
      <c r="F180" s="74" t="s">
        <v>1142</v>
      </c>
      <c r="G180" s="78" t="s">
        <v>635</v>
      </c>
      <c r="H180" s="73" t="s">
        <v>27</v>
      </c>
      <c r="I180" s="73"/>
      <c r="J180" s="73" t="s">
        <v>1143</v>
      </c>
      <c r="K180" s="79"/>
      <c r="L180" s="74" t="s">
        <v>612</v>
      </c>
      <c r="M180" s="73" t="s">
        <v>613</v>
      </c>
      <c r="N180" s="78" t="s">
        <v>637</v>
      </c>
    </row>
    <row r="181" spans="1:14" s="49" customFormat="1" ht="73.5">
      <c r="A181" s="73">
        <f t="shared" si="98"/>
        <v>177</v>
      </c>
      <c r="B181" s="80" t="s">
        <v>1144</v>
      </c>
      <c r="C181" s="73">
        <f t="shared" si="98"/>
        <v>177</v>
      </c>
      <c r="D181" s="79" t="s">
        <v>1145</v>
      </c>
      <c r="E181" s="73">
        <f t="shared" ref="E181" si="143">E180+1</f>
        <v>177</v>
      </c>
      <c r="F181" s="74" t="s">
        <v>1146</v>
      </c>
      <c r="G181" s="78" t="s">
        <v>635</v>
      </c>
      <c r="H181" s="73" t="s">
        <v>27</v>
      </c>
      <c r="I181" s="73"/>
      <c r="J181" s="73" t="s">
        <v>1147</v>
      </c>
      <c r="K181" s="79"/>
      <c r="L181" s="74" t="s">
        <v>612</v>
      </c>
      <c r="M181" s="73" t="s">
        <v>613</v>
      </c>
      <c r="N181" s="78" t="s">
        <v>637</v>
      </c>
    </row>
    <row r="182" spans="1:14" s="49" customFormat="1" ht="73.5">
      <c r="A182" s="73">
        <f t="shared" si="98"/>
        <v>178</v>
      </c>
      <c r="B182" s="80" t="s">
        <v>1148</v>
      </c>
      <c r="C182" s="73">
        <f t="shared" si="98"/>
        <v>178</v>
      </c>
      <c r="D182" s="79" t="s">
        <v>1149</v>
      </c>
      <c r="E182" s="73">
        <f t="shared" ref="E182" si="144">E181+1</f>
        <v>178</v>
      </c>
      <c r="F182" s="74" t="s">
        <v>1150</v>
      </c>
      <c r="G182" s="78" t="s">
        <v>635</v>
      </c>
      <c r="H182" s="73" t="s">
        <v>27</v>
      </c>
      <c r="I182" s="73"/>
      <c r="J182" s="73" t="s">
        <v>1151</v>
      </c>
      <c r="K182" s="79"/>
      <c r="L182" s="74" t="s">
        <v>612</v>
      </c>
      <c r="M182" s="73" t="s">
        <v>613</v>
      </c>
      <c r="N182" s="78" t="s">
        <v>637</v>
      </c>
    </row>
    <row r="183" spans="1:14" s="49" customFormat="1" ht="73.5">
      <c r="A183" s="73">
        <f t="shared" si="98"/>
        <v>179</v>
      </c>
      <c r="B183" s="80" t="s">
        <v>1152</v>
      </c>
      <c r="C183" s="73">
        <f t="shared" si="98"/>
        <v>179</v>
      </c>
      <c r="D183" s="79" t="s">
        <v>1153</v>
      </c>
      <c r="E183" s="73">
        <f t="shared" ref="E183" si="145">E182+1</f>
        <v>179</v>
      </c>
      <c r="F183" s="74" t="s">
        <v>1154</v>
      </c>
      <c r="G183" s="78" t="s">
        <v>635</v>
      </c>
      <c r="H183" s="73" t="s">
        <v>27</v>
      </c>
      <c r="I183" s="73"/>
      <c r="J183" s="73" t="s">
        <v>1155</v>
      </c>
      <c r="K183" s="79"/>
      <c r="L183" s="74" t="s">
        <v>612</v>
      </c>
      <c r="M183" s="73" t="s">
        <v>613</v>
      </c>
      <c r="N183" s="78" t="s">
        <v>637</v>
      </c>
    </row>
    <row r="184" spans="1:14" s="49" customFormat="1" ht="73.5">
      <c r="A184" s="73">
        <f t="shared" si="98"/>
        <v>180</v>
      </c>
      <c r="B184" s="80" t="s">
        <v>1156</v>
      </c>
      <c r="C184" s="73">
        <f t="shared" si="98"/>
        <v>180</v>
      </c>
      <c r="D184" s="79" t="s">
        <v>1157</v>
      </c>
      <c r="E184" s="73">
        <f t="shared" ref="E184" si="146">E183+1</f>
        <v>180</v>
      </c>
      <c r="F184" s="74" t="s">
        <v>1158</v>
      </c>
      <c r="G184" s="78" t="s">
        <v>635</v>
      </c>
      <c r="H184" s="73" t="s">
        <v>27</v>
      </c>
      <c r="I184" s="73"/>
      <c r="J184" s="73" t="s">
        <v>1159</v>
      </c>
      <c r="K184" s="79"/>
      <c r="L184" s="74" t="s">
        <v>612</v>
      </c>
      <c r="M184" s="73" t="s">
        <v>613</v>
      </c>
      <c r="N184" s="78" t="s">
        <v>637</v>
      </c>
    </row>
    <row r="185" spans="1:14" s="49" customFormat="1" ht="73.5">
      <c r="A185" s="73">
        <f t="shared" si="98"/>
        <v>181</v>
      </c>
      <c r="B185" s="80" t="s">
        <v>1160</v>
      </c>
      <c r="C185" s="73">
        <f t="shared" si="98"/>
        <v>181</v>
      </c>
      <c r="D185" s="79" t="s">
        <v>1161</v>
      </c>
      <c r="E185" s="73">
        <f t="shared" ref="E185" si="147">E184+1</f>
        <v>181</v>
      </c>
      <c r="F185" s="74" t="s">
        <v>1162</v>
      </c>
      <c r="G185" s="78" t="s">
        <v>610</v>
      </c>
      <c r="H185" s="73" t="s">
        <v>27</v>
      </c>
      <c r="I185" s="73"/>
      <c r="J185" s="73" t="s">
        <v>1163</v>
      </c>
      <c r="K185" s="79"/>
      <c r="L185" s="74" t="s">
        <v>612</v>
      </c>
      <c r="M185" s="73" t="s">
        <v>613</v>
      </c>
      <c r="N185" s="78" t="s">
        <v>623</v>
      </c>
    </row>
    <row r="186" spans="1:14" s="49" customFormat="1" ht="73.5">
      <c r="A186" s="73">
        <f t="shared" si="98"/>
        <v>182</v>
      </c>
      <c r="B186" s="80" t="s">
        <v>1164</v>
      </c>
      <c r="C186" s="73">
        <f t="shared" si="98"/>
        <v>182</v>
      </c>
      <c r="D186" s="79" t="s">
        <v>1165</v>
      </c>
      <c r="E186" s="73">
        <f t="shared" ref="E186" si="148">E185+1</f>
        <v>182</v>
      </c>
      <c r="F186" s="74" t="s">
        <v>1166</v>
      </c>
      <c r="G186" s="78" t="s">
        <v>610</v>
      </c>
      <c r="H186" s="73" t="s">
        <v>27</v>
      </c>
      <c r="I186" s="73"/>
      <c r="J186" s="73" t="s">
        <v>1167</v>
      </c>
      <c r="K186" s="79"/>
      <c r="L186" s="74" t="s">
        <v>612</v>
      </c>
      <c r="M186" s="73" t="s">
        <v>613</v>
      </c>
      <c r="N186" s="78" t="s">
        <v>623</v>
      </c>
    </row>
    <row r="187" spans="1:14" s="49" customFormat="1" ht="73.5">
      <c r="A187" s="73">
        <f t="shared" si="98"/>
        <v>183</v>
      </c>
      <c r="B187" s="80" t="s">
        <v>1168</v>
      </c>
      <c r="C187" s="73">
        <f t="shared" si="98"/>
        <v>183</v>
      </c>
      <c r="D187" s="79" t="s">
        <v>1169</v>
      </c>
      <c r="E187" s="73">
        <f t="shared" ref="E187" si="149">E186+1</f>
        <v>183</v>
      </c>
      <c r="F187" s="74" t="s">
        <v>1170</v>
      </c>
      <c r="G187" s="78" t="s">
        <v>610</v>
      </c>
      <c r="H187" s="73" t="s">
        <v>27</v>
      </c>
      <c r="I187" s="73"/>
      <c r="J187" s="73" t="s">
        <v>1171</v>
      </c>
      <c r="K187" s="79"/>
      <c r="L187" s="74" t="s">
        <v>612</v>
      </c>
      <c r="M187" s="73" t="s">
        <v>613</v>
      </c>
      <c r="N187" s="78" t="s">
        <v>623</v>
      </c>
    </row>
    <row r="188" spans="1:14" s="49" customFormat="1" ht="73.5">
      <c r="A188" s="73">
        <f t="shared" si="98"/>
        <v>184</v>
      </c>
      <c r="B188" s="80" t="s">
        <v>1172</v>
      </c>
      <c r="C188" s="73">
        <f t="shared" si="98"/>
        <v>184</v>
      </c>
      <c r="D188" s="79" t="s">
        <v>1173</v>
      </c>
      <c r="E188" s="73">
        <f t="shared" ref="E188" si="150">E187+1</f>
        <v>184</v>
      </c>
      <c r="F188" s="74" t="s">
        <v>1174</v>
      </c>
      <c r="G188" s="78" t="s">
        <v>610</v>
      </c>
      <c r="H188" s="73" t="s">
        <v>27</v>
      </c>
      <c r="I188" s="73"/>
      <c r="J188" s="73" t="s">
        <v>1175</v>
      </c>
      <c r="K188" s="79"/>
      <c r="L188" s="74" t="s">
        <v>612</v>
      </c>
      <c r="M188" s="73" t="s">
        <v>613</v>
      </c>
      <c r="N188" s="78" t="s">
        <v>623</v>
      </c>
    </row>
    <row r="189" spans="1:14" s="49" customFormat="1" ht="73.5">
      <c r="A189" s="73">
        <f t="shared" si="98"/>
        <v>185</v>
      </c>
      <c r="B189" s="80" t="s">
        <v>1176</v>
      </c>
      <c r="C189" s="73">
        <f t="shared" si="98"/>
        <v>185</v>
      </c>
      <c r="D189" s="79" t="s">
        <v>1177</v>
      </c>
      <c r="E189" s="73">
        <f t="shared" ref="E189" si="151">E188+1</f>
        <v>185</v>
      </c>
      <c r="F189" s="74" t="s">
        <v>1178</v>
      </c>
      <c r="G189" s="78" t="s">
        <v>610</v>
      </c>
      <c r="H189" s="73" t="s">
        <v>27</v>
      </c>
      <c r="I189" s="73"/>
      <c r="J189" s="73" t="s">
        <v>1179</v>
      </c>
      <c r="K189" s="79"/>
      <c r="L189" s="74" t="s">
        <v>612</v>
      </c>
      <c r="M189" s="73" t="s">
        <v>613</v>
      </c>
      <c r="N189" s="78" t="s">
        <v>623</v>
      </c>
    </row>
    <row r="190" spans="1:14" s="49" customFormat="1" ht="21">
      <c r="A190" s="73">
        <f t="shared" si="98"/>
        <v>186</v>
      </c>
      <c r="B190" s="80" t="s">
        <v>1180</v>
      </c>
      <c r="C190" s="73">
        <f t="shared" si="98"/>
        <v>186</v>
      </c>
      <c r="D190" s="79" t="s">
        <v>1181</v>
      </c>
      <c r="E190" s="73">
        <f t="shared" ref="E190" si="152">E189+1</f>
        <v>186</v>
      </c>
      <c r="F190" s="74" t="s">
        <v>1182</v>
      </c>
      <c r="G190" s="73" t="s">
        <v>610</v>
      </c>
      <c r="H190" s="73" t="s">
        <v>27</v>
      </c>
      <c r="I190" s="73"/>
      <c r="J190" s="79" t="s">
        <v>1183</v>
      </c>
      <c r="K190" s="79"/>
      <c r="L190" s="74" t="s">
        <v>612</v>
      </c>
      <c r="M190" s="73" t="s">
        <v>613</v>
      </c>
      <c r="N190" s="73" t="s">
        <v>614</v>
      </c>
    </row>
    <row r="191" spans="1:14" s="49" customFormat="1" ht="21">
      <c r="A191" s="73">
        <f t="shared" si="98"/>
        <v>187</v>
      </c>
      <c r="B191" s="80" t="s">
        <v>1184</v>
      </c>
      <c r="C191" s="73">
        <f t="shared" si="98"/>
        <v>187</v>
      </c>
      <c r="D191" s="79" t="s">
        <v>1185</v>
      </c>
      <c r="E191" s="73">
        <f t="shared" ref="E191" si="153">E190+1</f>
        <v>187</v>
      </c>
      <c r="F191" s="74" t="s">
        <v>1186</v>
      </c>
      <c r="G191" s="73" t="s">
        <v>610</v>
      </c>
      <c r="H191" s="73" t="s">
        <v>27</v>
      </c>
      <c r="I191" s="73"/>
      <c r="J191" s="79" t="s">
        <v>1187</v>
      </c>
      <c r="K191" s="79"/>
      <c r="L191" s="74" t="s">
        <v>612</v>
      </c>
      <c r="M191" s="73" t="s">
        <v>613</v>
      </c>
      <c r="N191" s="73" t="s">
        <v>614</v>
      </c>
    </row>
    <row r="192" spans="1:14" s="51" customFormat="1" ht="42.75">
      <c r="A192" s="73">
        <f t="shared" si="98"/>
        <v>188</v>
      </c>
      <c r="B192" s="80" t="s">
        <v>293</v>
      </c>
      <c r="C192" s="73">
        <f t="shared" si="98"/>
        <v>188</v>
      </c>
      <c r="D192" s="79" t="s">
        <v>294</v>
      </c>
      <c r="E192" s="73">
        <f t="shared" ref="E192" si="154">E191+1</f>
        <v>188</v>
      </c>
      <c r="F192" s="74" t="s">
        <v>1188</v>
      </c>
      <c r="G192" s="80" t="s">
        <v>610</v>
      </c>
      <c r="H192" s="74" t="s">
        <v>27</v>
      </c>
      <c r="I192" s="74" t="s">
        <v>1189</v>
      </c>
      <c r="J192" s="79" t="s">
        <v>1190</v>
      </c>
      <c r="K192" s="79"/>
      <c r="L192" s="74" t="s">
        <v>612</v>
      </c>
      <c r="M192" s="73" t="s">
        <v>613</v>
      </c>
      <c r="N192" s="80" t="s">
        <v>614</v>
      </c>
    </row>
    <row r="193" spans="1:14" s="49" customFormat="1">
      <c r="A193" s="73">
        <f t="shared" si="98"/>
        <v>189</v>
      </c>
      <c r="B193" s="80" t="s">
        <v>296</v>
      </c>
      <c r="C193" s="73">
        <f t="shared" si="98"/>
        <v>189</v>
      </c>
      <c r="D193" s="79" t="s">
        <v>297</v>
      </c>
      <c r="E193" s="73">
        <f t="shared" ref="E193" si="155">E192+1</f>
        <v>189</v>
      </c>
      <c r="F193" s="74" t="s">
        <v>1191</v>
      </c>
      <c r="G193" s="73" t="s">
        <v>610</v>
      </c>
      <c r="H193" s="73" t="s">
        <v>27</v>
      </c>
      <c r="I193" s="73"/>
      <c r="J193" s="79" t="s">
        <v>1192</v>
      </c>
      <c r="K193" s="79"/>
      <c r="L193" s="74" t="s">
        <v>612</v>
      </c>
      <c r="M193" s="73" t="s">
        <v>613</v>
      </c>
      <c r="N193" s="73" t="s">
        <v>614</v>
      </c>
    </row>
    <row r="194" spans="1:14" s="49" customFormat="1" ht="21">
      <c r="A194" s="73">
        <f t="shared" si="98"/>
        <v>190</v>
      </c>
      <c r="B194" s="80" t="s">
        <v>299</v>
      </c>
      <c r="C194" s="73">
        <f t="shared" si="98"/>
        <v>190</v>
      </c>
      <c r="D194" s="79" t="s">
        <v>300</v>
      </c>
      <c r="E194" s="73">
        <f t="shared" ref="E194" si="156">E193+1</f>
        <v>190</v>
      </c>
      <c r="F194" s="74" t="s">
        <v>1193</v>
      </c>
      <c r="G194" s="80" t="s">
        <v>1194</v>
      </c>
      <c r="H194" s="79" t="s">
        <v>27</v>
      </c>
      <c r="I194" s="73"/>
      <c r="J194" s="79" t="s">
        <v>1195</v>
      </c>
      <c r="K194" s="79"/>
      <c r="L194" s="74" t="s">
        <v>612</v>
      </c>
      <c r="M194" s="73" t="s">
        <v>613</v>
      </c>
      <c r="N194" s="80" t="s">
        <v>1196</v>
      </c>
    </row>
    <row r="195" spans="1:14" s="49" customFormat="1" ht="21">
      <c r="A195" s="73">
        <f t="shared" si="98"/>
        <v>191</v>
      </c>
      <c r="B195" s="80" t="s">
        <v>302</v>
      </c>
      <c r="C195" s="73">
        <f t="shared" si="98"/>
        <v>191</v>
      </c>
      <c r="D195" s="79" t="s">
        <v>303</v>
      </c>
      <c r="E195" s="73">
        <f t="shared" ref="E195" si="157">E194+1</f>
        <v>191</v>
      </c>
      <c r="F195" s="74" t="s">
        <v>1197</v>
      </c>
      <c r="G195" s="80" t="s">
        <v>1194</v>
      </c>
      <c r="H195" s="79" t="s">
        <v>27</v>
      </c>
      <c r="I195" s="73"/>
      <c r="J195" s="79" t="s">
        <v>1198</v>
      </c>
      <c r="K195" s="79" t="s">
        <v>1199</v>
      </c>
      <c r="L195" s="74" t="s">
        <v>612</v>
      </c>
      <c r="M195" s="73" t="s">
        <v>613</v>
      </c>
      <c r="N195" s="80" t="s">
        <v>1196</v>
      </c>
    </row>
    <row r="196" spans="1:14" s="49" customFormat="1" ht="21">
      <c r="A196" s="73">
        <f t="shared" si="98"/>
        <v>192</v>
      </c>
      <c r="B196" s="73" t="s">
        <v>305</v>
      </c>
      <c r="C196" s="73">
        <f t="shared" si="98"/>
        <v>192</v>
      </c>
      <c r="D196" s="73" t="s">
        <v>306</v>
      </c>
      <c r="E196" s="73">
        <f t="shared" ref="E196" si="158">E195+1</f>
        <v>192</v>
      </c>
      <c r="F196" s="74" t="s">
        <v>1200</v>
      </c>
      <c r="G196" s="80" t="s">
        <v>1194</v>
      </c>
      <c r="H196" s="79" t="s">
        <v>27</v>
      </c>
      <c r="I196" s="73"/>
      <c r="J196" s="73" t="s">
        <v>1201</v>
      </c>
      <c r="K196" s="73"/>
      <c r="L196" s="74" t="s">
        <v>612</v>
      </c>
      <c r="M196" s="73" t="s">
        <v>613</v>
      </c>
      <c r="N196" s="80" t="s">
        <v>1196</v>
      </c>
    </row>
    <row r="197" spans="1:14" s="52" customFormat="1">
      <c r="A197" s="52">
        <f t="shared" si="98"/>
        <v>193</v>
      </c>
      <c r="B197" s="52" t="s">
        <v>308</v>
      </c>
      <c r="C197" s="52">
        <f t="shared" si="98"/>
        <v>193</v>
      </c>
      <c r="D197" s="52" t="s">
        <v>1202</v>
      </c>
      <c r="E197" s="52">
        <f t="shared" ref="E197" si="159">E196+1</f>
        <v>193</v>
      </c>
      <c r="F197" s="52" t="s">
        <v>911</v>
      </c>
      <c r="G197" s="52" t="s">
        <v>620</v>
      </c>
      <c r="H197" s="52" t="s">
        <v>27</v>
      </c>
      <c r="J197" s="53" t="s">
        <v>1203</v>
      </c>
      <c r="L197" s="83" t="s">
        <v>612</v>
      </c>
      <c r="M197" s="52" t="s">
        <v>613</v>
      </c>
      <c r="N197" s="52" t="s">
        <v>623</v>
      </c>
    </row>
    <row r="198" spans="1:14" s="52" customFormat="1">
      <c r="A198" s="52">
        <f t="shared" si="98"/>
        <v>194</v>
      </c>
      <c r="B198" s="52" t="s">
        <v>311</v>
      </c>
      <c r="C198" s="52">
        <f t="shared" si="98"/>
        <v>194</v>
      </c>
      <c r="D198" s="52" t="s">
        <v>1204</v>
      </c>
      <c r="E198" s="52">
        <f t="shared" ref="E198" si="160">E197+1</f>
        <v>194</v>
      </c>
      <c r="F198" s="52" t="s">
        <v>911</v>
      </c>
      <c r="G198" s="52" t="s">
        <v>620</v>
      </c>
      <c r="H198" s="52" t="s">
        <v>27</v>
      </c>
      <c r="J198" s="53" t="s">
        <v>1205</v>
      </c>
      <c r="L198" s="83" t="s">
        <v>612</v>
      </c>
      <c r="M198" s="52" t="s">
        <v>613</v>
      </c>
      <c r="N198" s="52" t="s">
        <v>623</v>
      </c>
    </row>
    <row r="199" spans="1:14" s="52" customFormat="1">
      <c r="A199" s="52">
        <f t="shared" si="98"/>
        <v>195</v>
      </c>
      <c r="B199" s="52" t="s">
        <v>1206</v>
      </c>
      <c r="C199" s="52">
        <f t="shared" si="98"/>
        <v>195</v>
      </c>
      <c r="D199" s="52" t="s">
        <v>1207</v>
      </c>
      <c r="E199" s="52">
        <f t="shared" ref="E199" si="161">E198+1</f>
        <v>195</v>
      </c>
      <c r="F199" s="52" t="s">
        <v>911</v>
      </c>
      <c r="G199" s="52" t="s">
        <v>620</v>
      </c>
      <c r="H199" s="52" t="s">
        <v>27</v>
      </c>
      <c r="J199" s="53" t="s">
        <v>1208</v>
      </c>
      <c r="L199" s="83" t="s">
        <v>612</v>
      </c>
      <c r="M199" s="52" t="s">
        <v>613</v>
      </c>
      <c r="N199" s="52" t="s">
        <v>623</v>
      </c>
    </row>
    <row r="200" spans="1:14" s="52" customFormat="1">
      <c r="A200" s="52">
        <f t="shared" si="98"/>
        <v>196</v>
      </c>
      <c r="B200" s="52" t="s">
        <v>1209</v>
      </c>
      <c r="C200" s="52">
        <f t="shared" si="98"/>
        <v>196</v>
      </c>
      <c r="D200" s="52" t="s">
        <v>1210</v>
      </c>
      <c r="E200" s="52">
        <f t="shared" ref="E200" si="162">E199+1</f>
        <v>196</v>
      </c>
      <c r="F200" s="52" t="s">
        <v>911</v>
      </c>
      <c r="G200" s="52" t="s">
        <v>921</v>
      </c>
      <c r="H200" s="52" t="s">
        <v>27</v>
      </c>
      <c r="J200" s="53" t="s">
        <v>1211</v>
      </c>
      <c r="L200" s="83" t="s">
        <v>612</v>
      </c>
      <c r="M200" s="52" t="s">
        <v>613</v>
      </c>
      <c r="N200" s="52" t="s">
        <v>923</v>
      </c>
    </row>
    <row r="201" spans="1:14" s="52" customFormat="1">
      <c r="A201" s="52">
        <f t="shared" ref="A201:C264" si="163">A200+1</f>
        <v>197</v>
      </c>
      <c r="B201" s="52" t="s">
        <v>1212</v>
      </c>
      <c r="C201" s="52">
        <f t="shared" si="163"/>
        <v>197</v>
      </c>
      <c r="D201" s="52" t="s">
        <v>1213</v>
      </c>
      <c r="E201" s="52">
        <f t="shared" ref="E201" si="164">E200+1</f>
        <v>197</v>
      </c>
      <c r="F201" s="52" t="s">
        <v>911</v>
      </c>
      <c r="G201" s="52" t="s">
        <v>921</v>
      </c>
      <c r="H201" s="52" t="s">
        <v>27</v>
      </c>
      <c r="J201" s="53" t="s">
        <v>1214</v>
      </c>
      <c r="L201" s="83" t="s">
        <v>612</v>
      </c>
      <c r="M201" s="52" t="s">
        <v>613</v>
      </c>
      <c r="N201" s="52" t="s">
        <v>923</v>
      </c>
    </row>
    <row r="202" spans="1:14" s="52" customFormat="1">
      <c r="A202" s="52">
        <f t="shared" si="163"/>
        <v>198</v>
      </c>
      <c r="B202" s="52" t="s">
        <v>1215</v>
      </c>
      <c r="C202" s="52">
        <f t="shared" si="163"/>
        <v>198</v>
      </c>
      <c r="D202" s="52" t="s">
        <v>1216</v>
      </c>
      <c r="E202" s="52">
        <f t="shared" ref="E202" si="165">E201+1</f>
        <v>198</v>
      </c>
      <c r="F202" s="52" t="s">
        <v>911</v>
      </c>
      <c r="G202" s="52" t="s">
        <v>921</v>
      </c>
      <c r="H202" s="52" t="s">
        <v>27</v>
      </c>
      <c r="J202" s="53" t="s">
        <v>1217</v>
      </c>
      <c r="L202" s="83" t="s">
        <v>612</v>
      </c>
      <c r="M202" s="52" t="s">
        <v>613</v>
      </c>
      <c r="N202" s="52" t="s">
        <v>923</v>
      </c>
    </row>
    <row r="203" spans="1:14" s="52" customFormat="1">
      <c r="A203" s="52">
        <f t="shared" si="163"/>
        <v>199</v>
      </c>
      <c r="B203" s="52" t="s">
        <v>1218</v>
      </c>
      <c r="C203" s="52">
        <f t="shared" si="163"/>
        <v>199</v>
      </c>
      <c r="D203" s="52" t="s">
        <v>1219</v>
      </c>
      <c r="E203" s="52">
        <f t="shared" ref="E203" si="166">E202+1</f>
        <v>199</v>
      </c>
      <c r="F203" s="52" t="s">
        <v>911</v>
      </c>
      <c r="G203" s="52" t="s">
        <v>610</v>
      </c>
      <c r="H203" s="52" t="s">
        <v>27</v>
      </c>
      <c r="J203" s="53" t="s">
        <v>1220</v>
      </c>
      <c r="L203" s="83" t="s">
        <v>612</v>
      </c>
      <c r="M203" s="52" t="s">
        <v>613</v>
      </c>
      <c r="N203" s="52" t="s">
        <v>614</v>
      </c>
    </row>
    <row r="204" spans="1:14" s="52" customFormat="1">
      <c r="A204" s="52">
        <f t="shared" si="163"/>
        <v>200</v>
      </c>
      <c r="B204" s="52" t="s">
        <v>1221</v>
      </c>
      <c r="C204" s="52">
        <f t="shared" si="163"/>
        <v>200</v>
      </c>
      <c r="D204" s="52" t="s">
        <v>1222</v>
      </c>
      <c r="E204" s="52">
        <f t="shared" ref="E204" si="167">E203+1</f>
        <v>200</v>
      </c>
      <c r="F204" s="52" t="s">
        <v>911</v>
      </c>
      <c r="G204" s="52" t="s">
        <v>610</v>
      </c>
      <c r="H204" s="52" t="s">
        <v>27</v>
      </c>
      <c r="J204" s="53" t="s">
        <v>1223</v>
      </c>
      <c r="L204" s="83" t="s">
        <v>612</v>
      </c>
      <c r="M204" s="52" t="s">
        <v>613</v>
      </c>
      <c r="N204" s="52" t="s">
        <v>614</v>
      </c>
    </row>
    <row r="205" spans="1:14" s="52" customFormat="1">
      <c r="A205" s="52">
        <f t="shared" si="163"/>
        <v>201</v>
      </c>
      <c r="B205" s="52" t="s">
        <v>1224</v>
      </c>
      <c r="C205" s="52">
        <f t="shared" si="163"/>
        <v>201</v>
      </c>
      <c r="D205" s="52" t="s">
        <v>1225</v>
      </c>
      <c r="E205" s="52">
        <f t="shared" ref="E205" si="168">E204+1</f>
        <v>201</v>
      </c>
      <c r="F205" s="52" t="s">
        <v>911</v>
      </c>
      <c r="G205" s="52" t="s">
        <v>610</v>
      </c>
      <c r="H205" s="52" t="s">
        <v>27</v>
      </c>
      <c r="J205" s="53" t="s">
        <v>1226</v>
      </c>
      <c r="L205" s="83" t="s">
        <v>612</v>
      </c>
      <c r="M205" s="52" t="s">
        <v>613</v>
      </c>
      <c r="N205" s="52" t="s">
        <v>614</v>
      </c>
    </row>
    <row r="206" spans="1:14" s="52" customFormat="1">
      <c r="A206" s="52">
        <f t="shared" si="163"/>
        <v>202</v>
      </c>
      <c r="B206" s="52" t="s">
        <v>1227</v>
      </c>
      <c r="C206" s="52">
        <f t="shared" si="163"/>
        <v>202</v>
      </c>
      <c r="D206" s="52" t="s">
        <v>1228</v>
      </c>
      <c r="E206" s="52">
        <f t="shared" ref="E206" si="169">E205+1</f>
        <v>202</v>
      </c>
      <c r="F206" s="52" t="s">
        <v>941</v>
      </c>
      <c r="G206" s="52" t="s">
        <v>745</v>
      </c>
      <c r="H206" s="52" t="s">
        <v>27</v>
      </c>
      <c r="J206" s="53" t="s">
        <v>1229</v>
      </c>
      <c r="L206" s="83" t="s">
        <v>612</v>
      </c>
      <c r="M206" s="52" t="s">
        <v>613</v>
      </c>
      <c r="N206" s="52" t="s">
        <v>747</v>
      </c>
    </row>
    <row r="207" spans="1:14" s="52" customFormat="1">
      <c r="A207" s="52">
        <f t="shared" si="163"/>
        <v>203</v>
      </c>
      <c r="B207" s="52" t="s">
        <v>1230</v>
      </c>
      <c r="C207" s="52">
        <f t="shared" si="163"/>
        <v>203</v>
      </c>
      <c r="D207" s="52" t="s">
        <v>1231</v>
      </c>
      <c r="E207" s="52">
        <f t="shared" ref="E207" si="170">E206+1</f>
        <v>203</v>
      </c>
      <c r="F207" s="52" t="s">
        <v>941</v>
      </c>
      <c r="G207" s="52" t="s">
        <v>745</v>
      </c>
      <c r="H207" s="52" t="s">
        <v>27</v>
      </c>
      <c r="J207" s="53" t="s">
        <v>1232</v>
      </c>
      <c r="L207" s="83" t="s">
        <v>612</v>
      </c>
      <c r="M207" s="52" t="s">
        <v>613</v>
      </c>
      <c r="N207" s="52" t="s">
        <v>747</v>
      </c>
    </row>
    <row r="208" spans="1:14" s="52" customFormat="1">
      <c r="A208" s="52">
        <f t="shared" si="163"/>
        <v>204</v>
      </c>
      <c r="B208" s="52" t="s">
        <v>1233</v>
      </c>
      <c r="C208" s="52">
        <f t="shared" si="163"/>
        <v>204</v>
      </c>
      <c r="D208" s="52" t="s">
        <v>1234</v>
      </c>
      <c r="E208" s="52">
        <f t="shared" ref="E208" si="171">E207+1</f>
        <v>204</v>
      </c>
      <c r="F208" s="52" t="s">
        <v>941</v>
      </c>
      <c r="G208" s="52" t="s">
        <v>745</v>
      </c>
      <c r="H208" s="52" t="s">
        <v>27</v>
      </c>
      <c r="J208" s="53" t="s">
        <v>1235</v>
      </c>
      <c r="L208" s="83" t="s">
        <v>612</v>
      </c>
      <c r="M208" s="52" t="s">
        <v>613</v>
      </c>
      <c r="N208" s="52" t="s">
        <v>747</v>
      </c>
    </row>
    <row r="209" spans="1:14" s="52" customFormat="1">
      <c r="A209" s="52">
        <f t="shared" si="163"/>
        <v>205</v>
      </c>
      <c r="B209" s="52" t="s">
        <v>1236</v>
      </c>
      <c r="C209" s="52">
        <f t="shared" si="163"/>
        <v>205</v>
      </c>
      <c r="D209" s="52" t="s">
        <v>1237</v>
      </c>
      <c r="E209" s="52">
        <f t="shared" ref="E209" si="172">E208+1</f>
        <v>205</v>
      </c>
      <c r="F209" s="52" t="s">
        <v>941</v>
      </c>
      <c r="G209" s="52" t="s">
        <v>745</v>
      </c>
      <c r="H209" s="52" t="s">
        <v>27</v>
      </c>
      <c r="J209" s="53" t="s">
        <v>1238</v>
      </c>
      <c r="L209" s="83" t="s">
        <v>612</v>
      </c>
      <c r="M209" s="52" t="s">
        <v>613</v>
      </c>
      <c r="N209" s="52" t="s">
        <v>747</v>
      </c>
    </row>
    <row r="210" spans="1:14" s="52" customFormat="1">
      <c r="A210" s="52">
        <f t="shared" si="163"/>
        <v>206</v>
      </c>
      <c r="B210" s="52" t="s">
        <v>1239</v>
      </c>
      <c r="C210" s="52">
        <f t="shared" si="163"/>
        <v>206</v>
      </c>
      <c r="D210" s="52" t="s">
        <v>1240</v>
      </c>
      <c r="E210" s="52">
        <f t="shared" ref="E210" si="173">E209+1</f>
        <v>206</v>
      </c>
      <c r="F210" s="52" t="s">
        <v>941</v>
      </c>
      <c r="G210" s="52" t="s">
        <v>745</v>
      </c>
      <c r="H210" s="52" t="s">
        <v>27</v>
      </c>
      <c r="J210" s="53" t="s">
        <v>1241</v>
      </c>
      <c r="L210" s="83" t="s">
        <v>612</v>
      </c>
      <c r="M210" s="52" t="s">
        <v>613</v>
      </c>
      <c r="N210" s="52" t="s">
        <v>747</v>
      </c>
    </row>
    <row r="211" spans="1:14" s="52" customFormat="1">
      <c r="A211" s="52">
        <f t="shared" si="163"/>
        <v>207</v>
      </c>
      <c r="B211" s="52" t="s">
        <v>1242</v>
      </c>
      <c r="C211" s="52">
        <f t="shared" si="163"/>
        <v>207</v>
      </c>
      <c r="D211" s="52" t="s">
        <v>1243</v>
      </c>
      <c r="E211" s="52">
        <f t="shared" ref="E211" si="174">E210+1</f>
        <v>207</v>
      </c>
      <c r="F211" s="52" t="s">
        <v>957</v>
      </c>
      <c r="G211" s="52" t="s">
        <v>958</v>
      </c>
      <c r="H211" s="52" t="s">
        <v>27</v>
      </c>
      <c r="J211" s="53" t="s">
        <v>1244</v>
      </c>
      <c r="L211" s="83" t="s">
        <v>612</v>
      </c>
      <c r="M211" s="52" t="s">
        <v>613</v>
      </c>
      <c r="N211" s="52" t="s">
        <v>958</v>
      </c>
    </row>
    <row r="212" spans="1:14" s="52" customFormat="1">
      <c r="A212" s="52">
        <f t="shared" si="163"/>
        <v>208</v>
      </c>
      <c r="B212" s="52" t="s">
        <v>1245</v>
      </c>
      <c r="C212" s="52">
        <f t="shared" si="163"/>
        <v>208</v>
      </c>
      <c r="D212" s="52" t="s">
        <v>1246</v>
      </c>
      <c r="E212" s="52">
        <f t="shared" ref="E212" si="175">E211+1</f>
        <v>208</v>
      </c>
      <c r="F212" s="52" t="s">
        <v>957</v>
      </c>
      <c r="G212" s="52" t="s">
        <v>958</v>
      </c>
      <c r="H212" s="52" t="s">
        <v>27</v>
      </c>
      <c r="J212" s="53" t="s">
        <v>1247</v>
      </c>
      <c r="L212" s="83" t="s">
        <v>612</v>
      </c>
      <c r="M212" s="52" t="s">
        <v>613</v>
      </c>
      <c r="N212" s="52" t="s">
        <v>958</v>
      </c>
    </row>
    <row r="213" spans="1:14" s="52" customFormat="1">
      <c r="A213" s="52">
        <f t="shared" si="163"/>
        <v>209</v>
      </c>
      <c r="B213" s="52" t="s">
        <v>1248</v>
      </c>
      <c r="C213" s="52">
        <f t="shared" si="163"/>
        <v>209</v>
      </c>
      <c r="D213" s="52" t="s">
        <v>1249</v>
      </c>
      <c r="E213" s="52">
        <f t="shared" ref="E213" si="176">E212+1</f>
        <v>209</v>
      </c>
      <c r="F213" s="52" t="s">
        <v>957</v>
      </c>
      <c r="G213" s="52" t="s">
        <v>958</v>
      </c>
      <c r="H213" s="52" t="s">
        <v>27</v>
      </c>
      <c r="J213" s="53" t="s">
        <v>1250</v>
      </c>
      <c r="L213" s="83" t="s">
        <v>612</v>
      </c>
      <c r="M213" s="52" t="s">
        <v>613</v>
      </c>
      <c r="N213" s="52" t="s">
        <v>958</v>
      </c>
    </row>
    <row r="214" spans="1:14" s="52" customFormat="1">
      <c r="A214" s="52">
        <f t="shared" si="163"/>
        <v>210</v>
      </c>
      <c r="B214" s="52" t="s">
        <v>1251</v>
      </c>
      <c r="C214" s="52">
        <f t="shared" si="163"/>
        <v>210</v>
      </c>
      <c r="D214" s="52" t="s">
        <v>1252</v>
      </c>
      <c r="E214" s="52">
        <f t="shared" ref="E214" si="177">E213+1</f>
        <v>210</v>
      </c>
      <c r="F214" s="52" t="s">
        <v>957</v>
      </c>
      <c r="G214" s="52" t="s">
        <v>958</v>
      </c>
      <c r="H214" s="52" t="s">
        <v>27</v>
      </c>
      <c r="J214" s="53" t="s">
        <v>1253</v>
      </c>
      <c r="L214" s="83" t="s">
        <v>612</v>
      </c>
      <c r="M214" s="52" t="s">
        <v>613</v>
      </c>
      <c r="N214" s="52" t="s">
        <v>958</v>
      </c>
    </row>
    <row r="215" spans="1:14" s="52" customFormat="1">
      <c r="A215" s="52">
        <f t="shared" si="163"/>
        <v>211</v>
      </c>
      <c r="B215" s="52" t="s">
        <v>1254</v>
      </c>
      <c r="C215" s="52">
        <f t="shared" si="163"/>
        <v>211</v>
      </c>
      <c r="D215" s="52" t="s">
        <v>1255</v>
      </c>
      <c r="E215" s="52">
        <f t="shared" ref="E215" si="178">E214+1</f>
        <v>211</v>
      </c>
      <c r="F215" s="52" t="s">
        <v>957</v>
      </c>
      <c r="G215" s="52" t="s">
        <v>958</v>
      </c>
      <c r="H215" s="52" t="s">
        <v>27</v>
      </c>
      <c r="J215" s="53" t="s">
        <v>1256</v>
      </c>
      <c r="L215" s="83" t="s">
        <v>612</v>
      </c>
      <c r="M215" s="52" t="s">
        <v>613</v>
      </c>
      <c r="N215" s="52" t="s">
        <v>958</v>
      </c>
    </row>
    <row r="216" spans="1:14" s="52" customFormat="1">
      <c r="A216" s="52">
        <f t="shared" si="163"/>
        <v>212</v>
      </c>
      <c r="B216" s="52" t="s">
        <v>1257</v>
      </c>
      <c r="C216" s="52">
        <f t="shared" si="163"/>
        <v>212</v>
      </c>
      <c r="D216" s="52" t="s">
        <v>1258</v>
      </c>
      <c r="E216" s="52">
        <f t="shared" ref="E216" si="179">E215+1</f>
        <v>212</v>
      </c>
      <c r="F216" s="52" t="s">
        <v>974</v>
      </c>
      <c r="G216" s="52" t="s">
        <v>704</v>
      </c>
      <c r="H216" s="52" t="s">
        <v>27</v>
      </c>
      <c r="J216" s="53" t="s">
        <v>1259</v>
      </c>
      <c r="L216" s="83" t="s">
        <v>612</v>
      </c>
      <c r="M216" s="52" t="s">
        <v>613</v>
      </c>
      <c r="N216" s="52" t="s">
        <v>704</v>
      </c>
    </row>
    <row r="217" spans="1:14" s="52" customFormat="1">
      <c r="A217" s="52">
        <f t="shared" si="163"/>
        <v>213</v>
      </c>
      <c r="B217" s="52" t="s">
        <v>1260</v>
      </c>
      <c r="C217" s="52">
        <f t="shared" si="163"/>
        <v>213</v>
      </c>
      <c r="D217" s="52" t="s">
        <v>1261</v>
      </c>
      <c r="E217" s="52">
        <f t="shared" ref="E217" si="180">E216+1</f>
        <v>213</v>
      </c>
      <c r="F217" s="52" t="s">
        <v>974</v>
      </c>
      <c r="G217" s="52" t="s">
        <v>704</v>
      </c>
      <c r="H217" s="52" t="s">
        <v>27</v>
      </c>
      <c r="J217" s="53" t="s">
        <v>1262</v>
      </c>
      <c r="L217" s="83" t="s">
        <v>612</v>
      </c>
      <c r="M217" s="52" t="s">
        <v>613</v>
      </c>
      <c r="N217" s="52" t="s">
        <v>704</v>
      </c>
    </row>
    <row r="218" spans="1:14" s="52" customFormat="1">
      <c r="A218" s="52">
        <f t="shared" si="163"/>
        <v>214</v>
      </c>
      <c r="B218" s="52" t="s">
        <v>1263</v>
      </c>
      <c r="C218" s="52">
        <f t="shared" si="163"/>
        <v>214</v>
      </c>
      <c r="D218" s="52" t="s">
        <v>1264</v>
      </c>
      <c r="E218" s="52">
        <f t="shared" ref="E218" si="181">E217+1</f>
        <v>214</v>
      </c>
      <c r="F218" s="52" t="s">
        <v>974</v>
      </c>
      <c r="G218" s="52" t="s">
        <v>704</v>
      </c>
      <c r="H218" s="52" t="s">
        <v>27</v>
      </c>
      <c r="J218" s="53" t="s">
        <v>1265</v>
      </c>
      <c r="L218" s="83" t="s">
        <v>612</v>
      </c>
      <c r="M218" s="52" t="s">
        <v>613</v>
      </c>
      <c r="N218" s="52" t="s">
        <v>704</v>
      </c>
    </row>
    <row r="219" spans="1:14" s="52" customFormat="1">
      <c r="A219" s="52">
        <f t="shared" si="163"/>
        <v>215</v>
      </c>
      <c r="B219" s="52" t="s">
        <v>1266</v>
      </c>
      <c r="C219" s="52">
        <f t="shared" si="163"/>
        <v>215</v>
      </c>
      <c r="D219" s="52" t="s">
        <v>1267</v>
      </c>
      <c r="E219" s="52">
        <f t="shared" ref="E219" si="182">E218+1</f>
        <v>215</v>
      </c>
      <c r="F219" s="52" t="s">
        <v>974</v>
      </c>
      <c r="G219" s="52" t="s">
        <v>704</v>
      </c>
      <c r="H219" s="52" t="s">
        <v>27</v>
      </c>
      <c r="J219" s="53" t="s">
        <v>1268</v>
      </c>
      <c r="L219" s="83" t="s">
        <v>612</v>
      </c>
      <c r="M219" s="52" t="s">
        <v>613</v>
      </c>
      <c r="N219" s="52" t="s">
        <v>704</v>
      </c>
    </row>
    <row r="220" spans="1:14" s="52" customFormat="1">
      <c r="A220" s="52">
        <f t="shared" si="163"/>
        <v>216</v>
      </c>
      <c r="B220" s="52" t="s">
        <v>1269</v>
      </c>
      <c r="C220" s="52">
        <f t="shared" si="163"/>
        <v>216</v>
      </c>
      <c r="D220" s="52" t="s">
        <v>1270</v>
      </c>
      <c r="E220" s="52">
        <f t="shared" ref="E220" si="183">E219+1</f>
        <v>216</v>
      </c>
      <c r="F220" s="52" t="s">
        <v>974</v>
      </c>
      <c r="G220" s="52" t="s">
        <v>704</v>
      </c>
      <c r="H220" s="52" t="s">
        <v>27</v>
      </c>
      <c r="J220" s="53" t="s">
        <v>1271</v>
      </c>
      <c r="L220" s="83" t="s">
        <v>612</v>
      </c>
      <c r="M220" s="52" t="s">
        <v>613</v>
      </c>
      <c r="N220" s="52" t="s">
        <v>704</v>
      </c>
    </row>
    <row r="221" spans="1:14" s="49" customFormat="1" ht="63">
      <c r="A221" s="73">
        <f t="shared" si="163"/>
        <v>217</v>
      </c>
      <c r="B221" s="73" t="s">
        <v>1272</v>
      </c>
      <c r="C221" s="73">
        <f t="shared" si="163"/>
        <v>217</v>
      </c>
      <c r="D221" s="73" t="s">
        <v>1273</v>
      </c>
      <c r="E221" s="73">
        <f t="shared" ref="E221" si="184">E220+1</f>
        <v>217</v>
      </c>
      <c r="F221" s="74" t="s">
        <v>1274</v>
      </c>
      <c r="G221" s="78" t="s">
        <v>635</v>
      </c>
      <c r="H221" s="73" t="s">
        <v>27</v>
      </c>
      <c r="I221" s="80" t="s">
        <v>616</v>
      </c>
      <c r="J221" s="73" t="s">
        <v>1275</v>
      </c>
      <c r="K221" s="42" t="s">
        <v>1276</v>
      </c>
      <c r="L221" s="74" t="s">
        <v>612</v>
      </c>
      <c r="M221" s="73" t="s">
        <v>1277</v>
      </c>
      <c r="N221" s="78" t="s">
        <v>637</v>
      </c>
    </row>
    <row r="222" spans="1:14" s="49" customFormat="1" ht="84">
      <c r="A222" s="73">
        <f t="shared" si="163"/>
        <v>218</v>
      </c>
      <c r="B222" s="73" t="s">
        <v>1278</v>
      </c>
      <c r="C222" s="73">
        <f t="shared" si="163"/>
        <v>218</v>
      </c>
      <c r="D222" s="73" t="s">
        <v>1279</v>
      </c>
      <c r="E222" s="73">
        <f t="shared" ref="E222" si="185">E221+1</f>
        <v>218</v>
      </c>
      <c r="F222" s="74" t="s">
        <v>1280</v>
      </c>
      <c r="G222" s="78" t="s">
        <v>635</v>
      </c>
      <c r="H222" s="73" t="s">
        <v>27</v>
      </c>
      <c r="I222" s="80"/>
      <c r="J222" s="73" t="s">
        <v>1281</v>
      </c>
      <c r="K222" s="42" t="s">
        <v>1282</v>
      </c>
      <c r="L222" s="74" t="s">
        <v>612</v>
      </c>
      <c r="M222" s="73" t="s">
        <v>1277</v>
      </c>
      <c r="N222" s="78" t="s">
        <v>637</v>
      </c>
    </row>
    <row r="223" spans="1:14" s="49" customFormat="1" ht="52.5">
      <c r="A223" s="73">
        <f t="shared" si="163"/>
        <v>219</v>
      </c>
      <c r="B223" s="73" t="s">
        <v>1283</v>
      </c>
      <c r="C223" s="73">
        <f t="shared" si="163"/>
        <v>219</v>
      </c>
      <c r="D223" s="73" t="s">
        <v>1284</v>
      </c>
      <c r="E223" s="73">
        <f t="shared" ref="E223" si="186">E222+1</f>
        <v>219</v>
      </c>
      <c r="F223" s="74" t="s">
        <v>1285</v>
      </c>
      <c r="G223" s="78" t="s">
        <v>635</v>
      </c>
      <c r="H223" s="73" t="s">
        <v>27</v>
      </c>
      <c r="I223" s="80" t="s">
        <v>1000</v>
      </c>
      <c r="J223" s="73" t="s">
        <v>1286</v>
      </c>
      <c r="K223" s="73" t="s">
        <v>1287</v>
      </c>
      <c r="L223" s="74" t="s">
        <v>612</v>
      </c>
      <c r="M223" s="73" t="s">
        <v>1277</v>
      </c>
      <c r="N223" s="78" t="s">
        <v>637</v>
      </c>
    </row>
    <row r="224" spans="1:14" s="49" customFormat="1" ht="84">
      <c r="A224" s="73">
        <f t="shared" si="163"/>
        <v>220</v>
      </c>
      <c r="B224" s="73" t="s">
        <v>1288</v>
      </c>
      <c r="C224" s="73">
        <f t="shared" si="163"/>
        <v>220</v>
      </c>
      <c r="D224" s="73" t="s">
        <v>1289</v>
      </c>
      <c r="E224" s="73">
        <f t="shared" ref="E224" si="187">E223+1</f>
        <v>220</v>
      </c>
      <c r="F224" s="74" t="s">
        <v>1290</v>
      </c>
      <c r="G224" s="78" t="s">
        <v>635</v>
      </c>
      <c r="H224" s="73" t="s">
        <v>27</v>
      </c>
      <c r="I224" s="80"/>
      <c r="J224" s="73" t="s">
        <v>1291</v>
      </c>
      <c r="K224" s="73" t="s">
        <v>1292</v>
      </c>
      <c r="L224" s="74" t="s">
        <v>612</v>
      </c>
      <c r="M224" s="73" t="s">
        <v>1277</v>
      </c>
      <c r="N224" s="78" t="s">
        <v>637</v>
      </c>
    </row>
    <row r="225" spans="1:14" s="49" customFormat="1" ht="21">
      <c r="A225" s="73">
        <v>221</v>
      </c>
      <c r="B225" s="73" t="s">
        <v>1293</v>
      </c>
      <c r="C225" s="73">
        <v>221</v>
      </c>
      <c r="D225" s="74" t="s">
        <v>1294</v>
      </c>
      <c r="E225" s="73">
        <v>221</v>
      </c>
      <c r="F225" s="74" t="s">
        <v>1295</v>
      </c>
      <c r="G225" s="73" t="s">
        <v>610</v>
      </c>
      <c r="H225" s="73" t="s">
        <v>27</v>
      </c>
      <c r="I225" s="73" t="s">
        <v>1296</v>
      </c>
      <c r="J225" s="73" t="s">
        <v>1297</v>
      </c>
      <c r="K225" s="74"/>
      <c r="L225" s="74" t="s">
        <v>612</v>
      </c>
      <c r="M225" s="85" t="s">
        <v>1298</v>
      </c>
      <c r="N225" s="73" t="s">
        <v>614</v>
      </c>
    </row>
    <row r="226" spans="1:14" s="50" customFormat="1">
      <c r="A226" s="81">
        <f t="shared" si="163"/>
        <v>222</v>
      </c>
      <c r="B226" s="81" t="s">
        <v>1299</v>
      </c>
      <c r="C226" s="81">
        <f t="shared" si="163"/>
        <v>222</v>
      </c>
      <c r="D226" s="81" t="s">
        <v>1300</v>
      </c>
      <c r="E226" s="81">
        <f t="shared" ref="E226" si="188">E225+1</f>
        <v>222</v>
      </c>
      <c r="F226" s="81" t="s">
        <v>974</v>
      </c>
      <c r="G226" s="81" t="s">
        <v>704</v>
      </c>
      <c r="H226" s="81" t="s">
        <v>27</v>
      </c>
      <c r="I226" s="81"/>
      <c r="J226" s="81" t="s">
        <v>1301</v>
      </c>
      <c r="K226" s="83"/>
      <c r="L226" s="83"/>
      <c r="M226" s="86"/>
      <c r="N226" s="81" t="s">
        <v>704</v>
      </c>
    </row>
    <row r="227" spans="1:14" s="50" customFormat="1">
      <c r="A227" s="81">
        <f t="shared" si="163"/>
        <v>223</v>
      </c>
      <c r="B227" s="81" t="s">
        <v>1302</v>
      </c>
      <c r="C227" s="81">
        <f t="shared" si="163"/>
        <v>223</v>
      </c>
      <c r="D227" s="81" t="s">
        <v>1303</v>
      </c>
      <c r="E227" s="81">
        <f t="shared" ref="E227" si="189">E226+1</f>
        <v>223</v>
      </c>
      <c r="F227" s="81" t="s">
        <v>974</v>
      </c>
      <c r="G227" s="81" t="s">
        <v>704</v>
      </c>
      <c r="H227" s="81" t="s">
        <v>27</v>
      </c>
      <c r="I227" s="81"/>
      <c r="J227" s="81" t="s">
        <v>1304</v>
      </c>
      <c r="K227" s="83"/>
      <c r="L227" s="83"/>
      <c r="M227" s="86"/>
      <c r="N227" s="81" t="s">
        <v>704</v>
      </c>
    </row>
    <row r="228" spans="1:14" s="50" customFormat="1">
      <c r="A228" s="81">
        <f t="shared" si="163"/>
        <v>224</v>
      </c>
      <c r="B228" s="81" t="s">
        <v>1305</v>
      </c>
      <c r="C228" s="81">
        <f t="shared" si="163"/>
        <v>224</v>
      </c>
      <c r="D228" s="81" t="s">
        <v>1306</v>
      </c>
      <c r="E228" s="81">
        <f t="shared" ref="E228" si="190">E227+1</f>
        <v>224</v>
      </c>
      <c r="F228" s="81" t="s">
        <v>974</v>
      </c>
      <c r="G228" s="81" t="s">
        <v>704</v>
      </c>
      <c r="H228" s="81" t="s">
        <v>27</v>
      </c>
      <c r="I228" s="81"/>
      <c r="J228" s="81" t="s">
        <v>1307</v>
      </c>
      <c r="K228" s="83"/>
      <c r="L228" s="83"/>
      <c r="M228" s="86"/>
      <c r="N228" s="81" t="s">
        <v>704</v>
      </c>
    </row>
    <row r="229" spans="1:14" s="50" customFormat="1">
      <c r="A229" s="81">
        <f t="shared" si="163"/>
        <v>225</v>
      </c>
      <c r="B229" s="81" t="s">
        <v>1308</v>
      </c>
      <c r="C229" s="81">
        <f t="shared" si="163"/>
        <v>225</v>
      </c>
      <c r="D229" s="81" t="s">
        <v>1309</v>
      </c>
      <c r="E229" s="81">
        <f t="shared" ref="E229" si="191">E228+1</f>
        <v>225</v>
      </c>
      <c r="F229" s="81" t="s">
        <v>974</v>
      </c>
      <c r="G229" s="81" t="s">
        <v>704</v>
      </c>
      <c r="H229" s="81" t="s">
        <v>27</v>
      </c>
      <c r="I229" s="81"/>
      <c r="J229" s="81" t="s">
        <v>1310</v>
      </c>
      <c r="K229" s="83"/>
      <c r="L229" s="83"/>
      <c r="M229" s="86"/>
      <c r="N229" s="81" t="s">
        <v>704</v>
      </c>
    </row>
    <row r="230" spans="1:14" s="50" customFormat="1">
      <c r="A230" s="81">
        <f t="shared" si="163"/>
        <v>226</v>
      </c>
      <c r="B230" s="81" t="s">
        <v>1311</v>
      </c>
      <c r="C230" s="81">
        <f t="shared" si="163"/>
        <v>226</v>
      </c>
      <c r="D230" s="81" t="s">
        <v>1312</v>
      </c>
      <c r="E230" s="81">
        <f t="shared" ref="E230" si="192">E229+1</f>
        <v>226</v>
      </c>
      <c r="F230" s="81" t="s">
        <v>974</v>
      </c>
      <c r="G230" s="81" t="s">
        <v>704</v>
      </c>
      <c r="H230" s="81" t="s">
        <v>27</v>
      </c>
      <c r="I230" s="81"/>
      <c r="J230" s="81" t="s">
        <v>1313</v>
      </c>
      <c r="K230" s="83"/>
      <c r="L230" s="83"/>
      <c r="M230" s="86"/>
      <c r="N230" s="81" t="s">
        <v>704</v>
      </c>
    </row>
    <row r="231" spans="1:14" s="50" customFormat="1">
      <c r="A231" s="81">
        <f t="shared" si="163"/>
        <v>227</v>
      </c>
      <c r="B231" s="81" t="s">
        <v>1314</v>
      </c>
      <c r="C231" s="81">
        <f t="shared" si="163"/>
        <v>227</v>
      </c>
      <c r="D231" s="81" t="s">
        <v>1315</v>
      </c>
      <c r="E231" s="81">
        <f t="shared" ref="E231" si="193">E230+1</f>
        <v>227</v>
      </c>
      <c r="F231" s="81" t="s">
        <v>974</v>
      </c>
      <c r="G231" s="81" t="s">
        <v>704</v>
      </c>
      <c r="H231" s="81" t="s">
        <v>27</v>
      </c>
      <c r="I231" s="81"/>
      <c r="J231" s="81" t="s">
        <v>1316</v>
      </c>
      <c r="K231" s="83"/>
      <c r="L231" s="83"/>
      <c r="M231" s="86"/>
      <c r="N231" s="81" t="s">
        <v>704</v>
      </c>
    </row>
    <row r="232" spans="1:14" s="50" customFormat="1">
      <c r="A232" s="81">
        <f t="shared" si="163"/>
        <v>228</v>
      </c>
      <c r="B232" s="81" t="s">
        <v>1317</v>
      </c>
      <c r="C232" s="81">
        <f t="shared" si="163"/>
        <v>228</v>
      </c>
      <c r="D232" s="81" t="s">
        <v>1318</v>
      </c>
      <c r="E232" s="81">
        <f t="shared" ref="E232" si="194">E231+1</f>
        <v>228</v>
      </c>
      <c r="F232" s="81" t="s">
        <v>974</v>
      </c>
      <c r="G232" s="81" t="s">
        <v>704</v>
      </c>
      <c r="H232" s="81" t="s">
        <v>27</v>
      </c>
      <c r="I232" s="81"/>
      <c r="J232" s="81" t="s">
        <v>1319</v>
      </c>
      <c r="K232" s="83"/>
      <c r="L232" s="83"/>
      <c r="M232" s="86"/>
      <c r="N232" s="81" t="s">
        <v>704</v>
      </c>
    </row>
    <row r="233" spans="1:14" s="50" customFormat="1">
      <c r="A233" s="81">
        <f t="shared" si="163"/>
        <v>229</v>
      </c>
      <c r="B233" s="81" t="s">
        <v>1320</v>
      </c>
      <c r="C233" s="81">
        <f t="shared" si="163"/>
        <v>229</v>
      </c>
      <c r="D233" s="81" t="s">
        <v>1321</v>
      </c>
      <c r="E233" s="81">
        <f t="shared" ref="E233" si="195">E232+1</f>
        <v>229</v>
      </c>
      <c r="F233" s="81" t="s">
        <v>974</v>
      </c>
      <c r="G233" s="81" t="s">
        <v>704</v>
      </c>
      <c r="H233" s="81" t="s">
        <v>27</v>
      </c>
      <c r="I233" s="81"/>
      <c r="J233" s="81" t="s">
        <v>1322</v>
      </c>
      <c r="K233" s="83"/>
      <c r="L233" s="83"/>
      <c r="M233" s="86"/>
      <c r="N233" s="81" t="s">
        <v>704</v>
      </c>
    </row>
    <row r="234" spans="1:14" s="52" customFormat="1">
      <c r="A234" s="81">
        <f t="shared" si="163"/>
        <v>230</v>
      </c>
      <c r="B234" s="52" t="s">
        <v>1323</v>
      </c>
      <c r="C234" s="81">
        <f t="shared" si="163"/>
        <v>230</v>
      </c>
      <c r="D234" s="52" t="s">
        <v>1324</v>
      </c>
      <c r="E234" s="81">
        <f t="shared" ref="E234" si="196">E233+1</f>
        <v>230</v>
      </c>
      <c r="F234" s="52" t="s">
        <v>974</v>
      </c>
      <c r="G234" s="52" t="s">
        <v>704</v>
      </c>
      <c r="H234" s="52" t="s">
        <v>27</v>
      </c>
      <c r="J234" s="52" t="s">
        <v>1325</v>
      </c>
      <c r="K234" s="54"/>
      <c r="L234" s="54"/>
      <c r="M234" s="55"/>
      <c r="N234" s="52" t="s">
        <v>704</v>
      </c>
    </row>
    <row r="235" spans="1:14" s="52" customFormat="1">
      <c r="A235" s="81">
        <f t="shared" si="163"/>
        <v>231</v>
      </c>
      <c r="B235" s="52" t="s">
        <v>1326</v>
      </c>
      <c r="C235" s="81">
        <f t="shared" si="163"/>
        <v>231</v>
      </c>
      <c r="D235" s="52" t="s">
        <v>1327</v>
      </c>
      <c r="E235" s="81">
        <f t="shared" ref="E235" si="197">E234+1</f>
        <v>231</v>
      </c>
      <c r="F235" s="52" t="s">
        <v>974</v>
      </c>
      <c r="G235" s="52" t="s">
        <v>704</v>
      </c>
      <c r="H235" s="52" t="s">
        <v>27</v>
      </c>
      <c r="J235" s="52" t="s">
        <v>1328</v>
      </c>
      <c r="K235" s="54"/>
      <c r="L235" s="54"/>
      <c r="M235" s="55"/>
      <c r="N235" s="52" t="s">
        <v>704</v>
      </c>
    </row>
    <row r="236" spans="1:14" s="52" customFormat="1">
      <c r="A236" s="81">
        <f t="shared" si="163"/>
        <v>232</v>
      </c>
      <c r="B236" s="52" t="s">
        <v>1329</v>
      </c>
      <c r="C236" s="81">
        <f t="shared" si="163"/>
        <v>232</v>
      </c>
      <c r="D236" s="52" t="s">
        <v>1330</v>
      </c>
      <c r="E236" s="81">
        <f t="shared" ref="E236" si="198">E235+1</f>
        <v>232</v>
      </c>
      <c r="F236" s="52" t="s">
        <v>1331</v>
      </c>
      <c r="G236" s="52" t="s">
        <v>958</v>
      </c>
      <c r="H236" s="52" t="s">
        <v>27</v>
      </c>
      <c r="J236" s="52" t="s">
        <v>1332</v>
      </c>
      <c r="K236" s="54"/>
      <c r="L236" s="54"/>
      <c r="M236" s="55"/>
      <c r="N236" s="52" t="s">
        <v>958</v>
      </c>
    </row>
    <row r="237" spans="1:14" s="52" customFormat="1">
      <c r="A237" s="81">
        <f t="shared" si="163"/>
        <v>233</v>
      </c>
      <c r="B237" s="52" t="s">
        <v>1333</v>
      </c>
      <c r="C237" s="81">
        <f t="shared" si="163"/>
        <v>233</v>
      </c>
      <c r="D237" s="52" t="s">
        <v>1334</v>
      </c>
      <c r="E237" s="81">
        <f t="shared" ref="E237" si="199">E236+1</f>
        <v>233</v>
      </c>
      <c r="F237" s="52" t="s">
        <v>1331</v>
      </c>
      <c r="G237" s="52" t="s">
        <v>958</v>
      </c>
      <c r="H237" s="52" t="s">
        <v>27</v>
      </c>
      <c r="J237" s="52" t="s">
        <v>1335</v>
      </c>
      <c r="K237" s="54"/>
      <c r="L237" s="54"/>
      <c r="M237" s="55"/>
      <c r="N237" s="52" t="s">
        <v>958</v>
      </c>
    </row>
    <row r="238" spans="1:14" s="52" customFormat="1">
      <c r="A238" s="81">
        <f t="shared" si="163"/>
        <v>234</v>
      </c>
      <c r="B238" s="52" t="s">
        <v>1336</v>
      </c>
      <c r="C238" s="81">
        <f t="shared" si="163"/>
        <v>234</v>
      </c>
      <c r="D238" s="52" t="s">
        <v>1337</v>
      </c>
      <c r="E238" s="81">
        <f t="shared" ref="E238" si="200">E237+1</f>
        <v>234</v>
      </c>
      <c r="F238" s="52" t="s">
        <v>1331</v>
      </c>
      <c r="G238" s="52" t="s">
        <v>958</v>
      </c>
      <c r="H238" s="52" t="s">
        <v>27</v>
      </c>
      <c r="J238" s="52" t="s">
        <v>1338</v>
      </c>
      <c r="K238" s="54"/>
      <c r="L238" s="54"/>
      <c r="M238" s="55"/>
      <c r="N238" s="52" t="s">
        <v>958</v>
      </c>
    </row>
    <row r="239" spans="1:14" s="52" customFormat="1">
      <c r="A239" s="81">
        <f t="shared" si="163"/>
        <v>235</v>
      </c>
      <c r="B239" s="52" t="s">
        <v>1339</v>
      </c>
      <c r="C239" s="81">
        <f t="shared" si="163"/>
        <v>235</v>
      </c>
      <c r="D239" s="52" t="s">
        <v>1340</v>
      </c>
      <c r="E239" s="81">
        <f t="shared" ref="E239" si="201">E238+1</f>
        <v>235</v>
      </c>
      <c r="F239" s="52" t="s">
        <v>1331</v>
      </c>
      <c r="G239" s="52" t="s">
        <v>958</v>
      </c>
      <c r="H239" s="52" t="s">
        <v>27</v>
      </c>
      <c r="J239" s="52" t="s">
        <v>1341</v>
      </c>
      <c r="K239" s="54"/>
      <c r="L239" s="54"/>
      <c r="M239" s="55"/>
      <c r="N239" s="52" t="s">
        <v>958</v>
      </c>
    </row>
    <row r="240" spans="1:14" s="52" customFormat="1">
      <c r="A240" s="81">
        <f t="shared" si="163"/>
        <v>236</v>
      </c>
      <c r="B240" s="52" t="s">
        <v>1342</v>
      </c>
      <c r="C240" s="81">
        <f t="shared" si="163"/>
        <v>236</v>
      </c>
      <c r="D240" s="52" t="s">
        <v>1343</v>
      </c>
      <c r="E240" s="81">
        <f t="shared" ref="E240" si="202">E239+1</f>
        <v>236</v>
      </c>
      <c r="F240" s="52" t="s">
        <v>1331</v>
      </c>
      <c r="G240" s="52" t="s">
        <v>958</v>
      </c>
      <c r="H240" s="52" t="s">
        <v>27</v>
      </c>
      <c r="J240" s="52" t="s">
        <v>1344</v>
      </c>
      <c r="K240" s="54"/>
      <c r="L240" s="54"/>
      <c r="M240" s="55"/>
      <c r="N240" s="52" t="s">
        <v>958</v>
      </c>
    </row>
    <row r="241" spans="1:14" s="52" customFormat="1">
      <c r="A241" s="81">
        <f t="shared" si="163"/>
        <v>237</v>
      </c>
      <c r="B241" s="52" t="s">
        <v>1345</v>
      </c>
      <c r="C241" s="81">
        <f t="shared" si="163"/>
        <v>237</v>
      </c>
      <c r="D241" s="52" t="s">
        <v>1346</v>
      </c>
      <c r="E241" s="81">
        <f t="shared" ref="E241" si="203">E240+1</f>
        <v>237</v>
      </c>
      <c r="F241" s="52" t="s">
        <v>1347</v>
      </c>
      <c r="G241" s="52" t="s">
        <v>745</v>
      </c>
      <c r="H241" s="52" t="s">
        <v>27</v>
      </c>
      <c r="J241" s="52" t="s">
        <v>1348</v>
      </c>
      <c r="K241" s="54"/>
      <c r="L241" s="54"/>
      <c r="M241" s="55"/>
      <c r="N241" s="52" t="s">
        <v>747</v>
      </c>
    </row>
    <row r="242" spans="1:14" s="52" customFormat="1">
      <c r="A242" s="81">
        <f t="shared" si="163"/>
        <v>238</v>
      </c>
      <c r="B242" s="52" t="s">
        <v>1349</v>
      </c>
      <c r="C242" s="81">
        <f t="shared" si="163"/>
        <v>238</v>
      </c>
      <c r="D242" s="52" t="s">
        <v>1350</v>
      </c>
      <c r="E242" s="81">
        <f t="shared" ref="E242" si="204">E241+1</f>
        <v>238</v>
      </c>
      <c r="F242" s="52" t="s">
        <v>1347</v>
      </c>
      <c r="G242" s="52" t="s">
        <v>745</v>
      </c>
      <c r="H242" s="52" t="s">
        <v>27</v>
      </c>
      <c r="J242" s="52" t="s">
        <v>1351</v>
      </c>
      <c r="K242" s="54"/>
      <c r="L242" s="54"/>
      <c r="M242" s="55"/>
      <c r="N242" s="52" t="s">
        <v>747</v>
      </c>
    </row>
    <row r="243" spans="1:14" s="52" customFormat="1">
      <c r="A243" s="81">
        <f t="shared" si="163"/>
        <v>239</v>
      </c>
      <c r="B243" s="52" t="s">
        <v>1352</v>
      </c>
      <c r="C243" s="81">
        <f t="shared" si="163"/>
        <v>239</v>
      </c>
      <c r="D243" s="52" t="s">
        <v>1353</v>
      </c>
      <c r="E243" s="81">
        <f t="shared" ref="E243" si="205">E242+1</f>
        <v>239</v>
      </c>
      <c r="F243" s="52" t="s">
        <v>1347</v>
      </c>
      <c r="G243" s="52" t="s">
        <v>745</v>
      </c>
      <c r="H243" s="52" t="s">
        <v>27</v>
      </c>
      <c r="J243" s="52" t="s">
        <v>1354</v>
      </c>
      <c r="K243" s="54"/>
      <c r="L243" s="54"/>
      <c r="M243" s="55"/>
      <c r="N243" s="52" t="s">
        <v>747</v>
      </c>
    </row>
    <row r="244" spans="1:14" s="52" customFormat="1">
      <c r="A244" s="81">
        <f t="shared" si="163"/>
        <v>240</v>
      </c>
      <c r="B244" s="52" t="s">
        <v>1355</v>
      </c>
      <c r="C244" s="81">
        <f t="shared" si="163"/>
        <v>240</v>
      </c>
      <c r="D244" s="52" t="s">
        <v>1356</v>
      </c>
      <c r="E244" s="81">
        <f t="shared" ref="E244" si="206">E243+1</f>
        <v>240</v>
      </c>
      <c r="F244" s="52" t="s">
        <v>1347</v>
      </c>
      <c r="G244" s="52" t="s">
        <v>745</v>
      </c>
      <c r="H244" s="52" t="s">
        <v>27</v>
      </c>
      <c r="J244" s="52" t="s">
        <v>1357</v>
      </c>
      <c r="K244" s="54"/>
      <c r="L244" s="54"/>
      <c r="M244" s="55"/>
      <c r="N244" s="52" t="s">
        <v>747</v>
      </c>
    </row>
    <row r="245" spans="1:14" s="52" customFormat="1">
      <c r="A245" s="81">
        <f t="shared" si="163"/>
        <v>241</v>
      </c>
      <c r="B245" s="52" t="s">
        <v>1358</v>
      </c>
      <c r="C245" s="81">
        <f t="shared" si="163"/>
        <v>241</v>
      </c>
      <c r="D245" s="52" t="s">
        <v>1359</v>
      </c>
      <c r="E245" s="81">
        <f t="shared" ref="E245" si="207">E244+1</f>
        <v>241</v>
      </c>
      <c r="F245" s="52" t="s">
        <v>1347</v>
      </c>
      <c r="G245" s="52" t="s">
        <v>745</v>
      </c>
      <c r="H245" s="52" t="s">
        <v>27</v>
      </c>
      <c r="J245" s="52" t="s">
        <v>1360</v>
      </c>
      <c r="K245" s="54"/>
      <c r="L245" s="54"/>
      <c r="M245" s="55"/>
      <c r="N245" s="52" t="s">
        <v>747</v>
      </c>
    </row>
    <row r="246" spans="1:14" s="52" customFormat="1">
      <c r="A246" s="81">
        <f t="shared" si="163"/>
        <v>242</v>
      </c>
      <c r="B246" s="52" t="s">
        <v>1361</v>
      </c>
      <c r="C246" s="81">
        <f t="shared" si="163"/>
        <v>242</v>
      </c>
      <c r="D246" s="52" t="s">
        <v>1362</v>
      </c>
      <c r="E246" s="81">
        <f t="shared" ref="E246" si="208">E245+1</f>
        <v>242</v>
      </c>
      <c r="F246" s="52" t="s">
        <v>1363</v>
      </c>
      <c r="G246" s="52" t="s">
        <v>921</v>
      </c>
      <c r="H246" s="52" t="s">
        <v>27</v>
      </c>
      <c r="J246" s="52" t="s">
        <v>1364</v>
      </c>
      <c r="K246" s="54"/>
      <c r="L246" s="54"/>
      <c r="M246" s="55"/>
      <c r="N246" s="52" t="s">
        <v>923</v>
      </c>
    </row>
    <row r="247" spans="1:14" s="52" customFormat="1">
      <c r="A247" s="81">
        <f t="shared" si="163"/>
        <v>243</v>
      </c>
      <c r="B247" s="52" t="s">
        <v>1365</v>
      </c>
      <c r="C247" s="81">
        <f t="shared" si="163"/>
        <v>243</v>
      </c>
      <c r="D247" s="52" t="s">
        <v>1366</v>
      </c>
      <c r="E247" s="81">
        <f t="shared" ref="E247" si="209">E246+1</f>
        <v>243</v>
      </c>
      <c r="F247" s="52" t="s">
        <v>1363</v>
      </c>
      <c r="G247" s="52" t="s">
        <v>610</v>
      </c>
      <c r="H247" s="52" t="s">
        <v>27</v>
      </c>
      <c r="J247" s="52" t="s">
        <v>1367</v>
      </c>
      <c r="K247" s="54"/>
      <c r="L247" s="54"/>
      <c r="M247" s="55"/>
      <c r="N247" s="52" t="s">
        <v>923</v>
      </c>
    </row>
    <row r="248" spans="1:14" s="52" customFormat="1">
      <c r="A248" s="81">
        <f t="shared" si="163"/>
        <v>244</v>
      </c>
      <c r="B248" s="52" t="s">
        <v>1368</v>
      </c>
      <c r="C248" s="81">
        <f t="shared" si="163"/>
        <v>244</v>
      </c>
      <c r="D248" s="52" t="s">
        <v>1369</v>
      </c>
      <c r="E248" s="81">
        <f t="shared" ref="E248" si="210">E247+1</f>
        <v>244</v>
      </c>
      <c r="F248" s="52" t="s">
        <v>1363</v>
      </c>
      <c r="G248" s="52" t="s">
        <v>610</v>
      </c>
      <c r="H248" s="52" t="s">
        <v>27</v>
      </c>
      <c r="J248" s="52" t="s">
        <v>1370</v>
      </c>
      <c r="K248" s="54"/>
      <c r="L248" s="54"/>
      <c r="M248" s="55"/>
      <c r="N248" s="52" t="s">
        <v>923</v>
      </c>
    </row>
    <row r="249" spans="1:14" s="52" customFormat="1">
      <c r="A249" s="81">
        <f t="shared" si="163"/>
        <v>245</v>
      </c>
      <c r="B249" s="52" t="s">
        <v>1371</v>
      </c>
      <c r="C249" s="81">
        <f t="shared" si="163"/>
        <v>245</v>
      </c>
      <c r="D249" s="52" t="s">
        <v>1372</v>
      </c>
      <c r="E249" s="81">
        <f t="shared" ref="E249" si="211">E248+1</f>
        <v>245</v>
      </c>
      <c r="F249" s="52" t="s">
        <v>1363</v>
      </c>
      <c r="G249" s="52" t="s">
        <v>620</v>
      </c>
      <c r="H249" s="52" t="s">
        <v>27</v>
      </c>
      <c r="J249" s="52" t="s">
        <v>1373</v>
      </c>
      <c r="K249" s="54"/>
      <c r="L249" s="54"/>
      <c r="M249" s="55"/>
      <c r="N249" s="52" t="s">
        <v>623</v>
      </c>
    </row>
    <row r="250" spans="1:14" s="52" customFormat="1">
      <c r="A250" s="81">
        <f t="shared" si="163"/>
        <v>246</v>
      </c>
      <c r="B250" s="52" t="s">
        <v>1374</v>
      </c>
      <c r="C250" s="81">
        <f t="shared" si="163"/>
        <v>246</v>
      </c>
      <c r="D250" s="52" t="s">
        <v>1375</v>
      </c>
      <c r="E250" s="81">
        <f t="shared" ref="E250" si="212">E249+1</f>
        <v>246</v>
      </c>
      <c r="F250" s="52" t="s">
        <v>974</v>
      </c>
      <c r="G250" s="52" t="s">
        <v>704</v>
      </c>
      <c r="H250" s="52" t="s">
        <v>27</v>
      </c>
      <c r="J250" s="52" t="s">
        <v>1376</v>
      </c>
      <c r="K250" s="54"/>
      <c r="L250" s="54"/>
      <c r="M250" s="55"/>
      <c r="N250" s="52" t="s">
        <v>704</v>
      </c>
    </row>
    <row r="251" spans="1:14" s="52" customFormat="1">
      <c r="A251" s="81">
        <f t="shared" si="163"/>
        <v>247</v>
      </c>
      <c r="B251" s="52" t="s">
        <v>1377</v>
      </c>
      <c r="C251" s="81">
        <f t="shared" si="163"/>
        <v>247</v>
      </c>
      <c r="D251" s="52" t="s">
        <v>1378</v>
      </c>
      <c r="E251" s="81">
        <f t="shared" ref="E251" si="213">E250+1</f>
        <v>247</v>
      </c>
      <c r="F251" s="52" t="s">
        <v>974</v>
      </c>
      <c r="G251" s="52" t="s">
        <v>704</v>
      </c>
      <c r="H251" s="52" t="s">
        <v>27</v>
      </c>
      <c r="J251" s="52" t="s">
        <v>1379</v>
      </c>
      <c r="K251" s="54"/>
      <c r="L251" s="54"/>
      <c r="M251" s="55"/>
      <c r="N251" s="52" t="s">
        <v>704</v>
      </c>
    </row>
    <row r="252" spans="1:14" s="52" customFormat="1">
      <c r="A252" s="81">
        <f t="shared" si="163"/>
        <v>248</v>
      </c>
      <c r="B252" s="52" t="s">
        <v>1380</v>
      </c>
      <c r="C252" s="81">
        <f t="shared" si="163"/>
        <v>248</v>
      </c>
      <c r="D252" s="52" t="s">
        <v>1381</v>
      </c>
      <c r="E252" s="81">
        <f t="shared" ref="E252" si="214">E251+1</f>
        <v>248</v>
      </c>
      <c r="F252" s="52" t="s">
        <v>974</v>
      </c>
      <c r="G252" s="52" t="s">
        <v>704</v>
      </c>
      <c r="H252" s="52" t="s">
        <v>27</v>
      </c>
      <c r="J252" s="52" t="s">
        <v>1382</v>
      </c>
      <c r="K252" s="54"/>
      <c r="L252" s="54"/>
      <c r="M252" s="55"/>
      <c r="N252" s="52" t="s">
        <v>704</v>
      </c>
    </row>
    <row r="253" spans="1:14" s="52" customFormat="1">
      <c r="A253" s="81">
        <f t="shared" si="163"/>
        <v>249</v>
      </c>
      <c r="B253" s="52" t="s">
        <v>1383</v>
      </c>
      <c r="C253" s="81">
        <f t="shared" si="163"/>
        <v>249</v>
      </c>
      <c r="D253" s="52" t="s">
        <v>1384</v>
      </c>
      <c r="E253" s="81">
        <f t="shared" ref="E253" si="215">E252+1</f>
        <v>249</v>
      </c>
      <c r="F253" s="52" t="s">
        <v>974</v>
      </c>
      <c r="G253" s="52" t="s">
        <v>704</v>
      </c>
      <c r="H253" s="52" t="s">
        <v>27</v>
      </c>
      <c r="J253" s="52" t="s">
        <v>1385</v>
      </c>
      <c r="K253" s="54"/>
      <c r="L253" s="54"/>
      <c r="M253" s="55"/>
      <c r="N253" s="52" t="s">
        <v>704</v>
      </c>
    </row>
    <row r="254" spans="1:14" s="52" customFormat="1">
      <c r="A254" s="81">
        <f t="shared" si="163"/>
        <v>250</v>
      </c>
      <c r="B254" s="52" t="s">
        <v>1386</v>
      </c>
      <c r="C254" s="81">
        <f t="shared" si="163"/>
        <v>250</v>
      </c>
      <c r="D254" s="52" t="s">
        <v>1387</v>
      </c>
      <c r="E254" s="81">
        <f t="shared" ref="E254" si="216">E253+1</f>
        <v>250</v>
      </c>
      <c r="F254" s="52" t="s">
        <v>974</v>
      </c>
      <c r="G254" s="52" t="s">
        <v>704</v>
      </c>
      <c r="H254" s="52" t="s">
        <v>27</v>
      </c>
      <c r="J254" s="52" t="s">
        <v>1388</v>
      </c>
      <c r="K254" s="54"/>
      <c r="L254" s="54"/>
      <c r="M254" s="55"/>
      <c r="N254" s="52" t="s">
        <v>704</v>
      </c>
    </row>
    <row r="255" spans="1:14" s="52" customFormat="1">
      <c r="A255" s="81">
        <f t="shared" si="163"/>
        <v>251</v>
      </c>
      <c r="B255" s="52" t="s">
        <v>1389</v>
      </c>
      <c r="C255" s="81">
        <f t="shared" si="163"/>
        <v>251</v>
      </c>
      <c r="D255" s="52" t="s">
        <v>1390</v>
      </c>
      <c r="E255" s="81">
        <f t="shared" ref="E255" si="217">E254+1</f>
        <v>251</v>
      </c>
      <c r="F255" s="52" t="s">
        <v>974</v>
      </c>
      <c r="G255" s="52" t="s">
        <v>704</v>
      </c>
      <c r="H255" s="52" t="s">
        <v>27</v>
      </c>
      <c r="J255" s="52" t="s">
        <v>1391</v>
      </c>
      <c r="K255" s="54"/>
      <c r="L255" s="54"/>
      <c r="M255" s="55"/>
      <c r="N255" s="52" t="s">
        <v>704</v>
      </c>
    </row>
    <row r="256" spans="1:14" s="52" customFormat="1">
      <c r="A256" s="81">
        <f t="shared" si="163"/>
        <v>252</v>
      </c>
      <c r="B256" s="52" t="s">
        <v>1392</v>
      </c>
      <c r="C256" s="81">
        <f t="shared" si="163"/>
        <v>252</v>
      </c>
      <c r="D256" s="52" t="s">
        <v>1393</v>
      </c>
      <c r="E256" s="81">
        <f t="shared" ref="E256" si="218">E255+1</f>
        <v>252</v>
      </c>
      <c r="F256" s="52" t="s">
        <v>974</v>
      </c>
      <c r="G256" s="52" t="s">
        <v>704</v>
      </c>
      <c r="H256" s="52" t="s">
        <v>27</v>
      </c>
      <c r="J256" s="52" t="s">
        <v>1394</v>
      </c>
      <c r="K256" s="54"/>
      <c r="L256" s="54"/>
      <c r="M256" s="55"/>
      <c r="N256" s="52" t="s">
        <v>704</v>
      </c>
    </row>
    <row r="257" spans="1:14" s="52" customFormat="1">
      <c r="A257" s="81">
        <f t="shared" si="163"/>
        <v>253</v>
      </c>
      <c r="B257" s="52" t="s">
        <v>1395</v>
      </c>
      <c r="C257" s="81">
        <f t="shared" si="163"/>
        <v>253</v>
      </c>
      <c r="D257" s="52" t="s">
        <v>1396</v>
      </c>
      <c r="E257" s="81">
        <f t="shared" ref="E257" si="219">E256+1</f>
        <v>253</v>
      </c>
      <c r="F257" s="52" t="s">
        <v>974</v>
      </c>
      <c r="G257" s="52" t="s">
        <v>704</v>
      </c>
      <c r="H257" s="52" t="s">
        <v>27</v>
      </c>
      <c r="J257" s="52" t="s">
        <v>1397</v>
      </c>
      <c r="K257" s="54"/>
      <c r="L257" s="54"/>
      <c r="M257" s="55"/>
      <c r="N257" s="52" t="s">
        <v>704</v>
      </c>
    </row>
    <row r="258" spans="1:14" s="52" customFormat="1">
      <c r="A258" s="81">
        <f t="shared" si="163"/>
        <v>254</v>
      </c>
      <c r="B258" s="52" t="s">
        <v>1398</v>
      </c>
      <c r="C258" s="81">
        <f t="shared" si="163"/>
        <v>254</v>
      </c>
      <c r="D258" s="52" t="s">
        <v>1399</v>
      </c>
      <c r="E258" s="81">
        <f t="shared" ref="E258" si="220">E257+1</f>
        <v>254</v>
      </c>
      <c r="F258" s="52" t="s">
        <v>974</v>
      </c>
      <c r="G258" s="52" t="s">
        <v>704</v>
      </c>
      <c r="H258" s="52" t="s">
        <v>27</v>
      </c>
      <c r="J258" s="52" t="s">
        <v>1400</v>
      </c>
      <c r="K258" s="54"/>
      <c r="L258" s="54"/>
      <c r="M258" s="55"/>
      <c r="N258" s="52" t="s">
        <v>704</v>
      </c>
    </row>
    <row r="259" spans="1:14" s="52" customFormat="1">
      <c r="A259" s="81">
        <f t="shared" si="163"/>
        <v>255</v>
      </c>
      <c r="B259" s="52" t="s">
        <v>1401</v>
      </c>
      <c r="C259" s="81">
        <f t="shared" si="163"/>
        <v>255</v>
      </c>
      <c r="D259" s="52" t="s">
        <v>1402</v>
      </c>
      <c r="E259" s="81">
        <f t="shared" ref="E259" si="221">E258+1</f>
        <v>255</v>
      </c>
      <c r="F259" s="52" t="s">
        <v>974</v>
      </c>
      <c r="G259" s="52" t="s">
        <v>704</v>
      </c>
      <c r="H259" s="52" t="s">
        <v>27</v>
      </c>
      <c r="J259" s="52" t="s">
        <v>1403</v>
      </c>
      <c r="K259" s="54"/>
      <c r="L259" s="54"/>
      <c r="M259" s="55"/>
      <c r="N259" s="52" t="s">
        <v>704</v>
      </c>
    </row>
    <row r="260" spans="1:14" s="52" customFormat="1">
      <c r="A260" s="81">
        <f t="shared" si="163"/>
        <v>256</v>
      </c>
      <c r="B260" s="52" t="s">
        <v>1404</v>
      </c>
      <c r="C260" s="81">
        <f t="shared" si="163"/>
        <v>256</v>
      </c>
      <c r="D260" s="52" t="s">
        <v>1405</v>
      </c>
      <c r="E260" s="81">
        <f t="shared" ref="E260" si="222">E259+1</f>
        <v>256</v>
      </c>
      <c r="F260" s="52" t="s">
        <v>974</v>
      </c>
      <c r="G260" s="52" t="s">
        <v>704</v>
      </c>
      <c r="H260" s="52" t="s">
        <v>27</v>
      </c>
      <c r="J260" s="52" t="s">
        <v>1406</v>
      </c>
      <c r="K260" s="54"/>
      <c r="L260" s="54"/>
      <c r="M260" s="55"/>
      <c r="N260" s="52" t="s">
        <v>704</v>
      </c>
    </row>
    <row r="261" spans="1:14" s="52" customFormat="1">
      <c r="A261" s="81">
        <f t="shared" si="163"/>
        <v>257</v>
      </c>
      <c r="B261" s="52" t="s">
        <v>1407</v>
      </c>
      <c r="C261" s="81">
        <f t="shared" si="163"/>
        <v>257</v>
      </c>
      <c r="D261" s="52" t="s">
        <v>1408</v>
      </c>
      <c r="E261" s="81">
        <f t="shared" ref="E261" si="223">E260+1</f>
        <v>257</v>
      </c>
      <c r="F261" s="52" t="s">
        <v>974</v>
      </c>
      <c r="G261" s="52" t="s">
        <v>704</v>
      </c>
      <c r="H261" s="52" t="s">
        <v>27</v>
      </c>
      <c r="J261" s="52" t="s">
        <v>1409</v>
      </c>
      <c r="K261" s="54"/>
      <c r="L261" s="54"/>
      <c r="M261" s="55"/>
      <c r="N261" s="52" t="s">
        <v>704</v>
      </c>
    </row>
    <row r="262" spans="1:14" s="52" customFormat="1">
      <c r="A262" s="81">
        <f t="shared" si="163"/>
        <v>258</v>
      </c>
      <c r="B262" s="52" t="s">
        <v>1410</v>
      </c>
      <c r="C262" s="81">
        <f t="shared" si="163"/>
        <v>258</v>
      </c>
      <c r="D262" s="52" t="s">
        <v>1411</v>
      </c>
      <c r="E262" s="81">
        <f t="shared" ref="E262" si="224">E261+1</f>
        <v>258</v>
      </c>
      <c r="F262" s="52" t="s">
        <v>974</v>
      </c>
      <c r="G262" s="52" t="s">
        <v>704</v>
      </c>
      <c r="H262" s="52" t="s">
        <v>27</v>
      </c>
      <c r="J262" s="52" t="s">
        <v>1412</v>
      </c>
      <c r="K262" s="54"/>
      <c r="L262" s="54"/>
      <c r="M262" s="55"/>
      <c r="N262" s="52" t="s">
        <v>704</v>
      </c>
    </row>
    <row r="263" spans="1:14" s="52" customFormat="1">
      <c r="A263" s="81">
        <f t="shared" si="163"/>
        <v>259</v>
      </c>
      <c r="B263" s="52" t="s">
        <v>1413</v>
      </c>
      <c r="C263" s="81">
        <f t="shared" si="163"/>
        <v>259</v>
      </c>
      <c r="D263" s="52" t="s">
        <v>1414</v>
      </c>
      <c r="E263" s="81">
        <f t="shared" ref="E263" si="225">E262+1</f>
        <v>259</v>
      </c>
      <c r="F263" s="52" t="s">
        <v>974</v>
      </c>
      <c r="G263" s="52" t="s">
        <v>704</v>
      </c>
      <c r="H263" s="52" t="s">
        <v>27</v>
      </c>
      <c r="J263" s="52" t="s">
        <v>1415</v>
      </c>
      <c r="K263" s="54"/>
      <c r="L263" s="54"/>
      <c r="M263" s="55"/>
      <c r="N263" s="52" t="s">
        <v>704</v>
      </c>
    </row>
    <row r="264" spans="1:14" s="52" customFormat="1">
      <c r="A264" s="81">
        <f t="shared" si="163"/>
        <v>260</v>
      </c>
      <c r="B264" s="52" t="s">
        <v>1416</v>
      </c>
      <c r="C264" s="81">
        <f t="shared" si="163"/>
        <v>260</v>
      </c>
      <c r="D264" s="52" t="s">
        <v>1417</v>
      </c>
      <c r="E264" s="81">
        <f t="shared" ref="E264" si="226">E263+1</f>
        <v>260</v>
      </c>
      <c r="F264" s="52" t="s">
        <v>974</v>
      </c>
      <c r="G264" s="52" t="s">
        <v>704</v>
      </c>
      <c r="H264" s="52" t="s">
        <v>27</v>
      </c>
      <c r="J264" s="52" t="s">
        <v>1418</v>
      </c>
      <c r="K264" s="54"/>
      <c r="L264" s="54"/>
      <c r="M264" s="55"/>
      <c r="N264" s="52" t="s">
        <v>704</v>
      </c>
    </row>
    <row r="265" spans="1:14" s="52" customFormat="1">
      <c r="A265" s="81">
        <f t="shared" ref="A265:C327" si="227">A264+1</f>
        <v>261</v>
      </c>
      <c r="B265" s="52" t="s">
        <v>1419</v>
      </c>
      <c r="C265" s="81">
        <f t="shared" si="227"/>
        <v>261</v>
      </c>
      <c r="D265" s="52" t="s">
        <v>1420</v>
      </c>
      <c r="E265" s="81">
        <f t="shared" ref="E265" si="228">E264+1</f>
        <v>261</v>
      </c>
      <c r="F265" s="52" t="s">
        <v>1331</v>
      </c>
      <c r="G265" s="52" t="s">
        <v>958</v>
      </c>
      <c r="H265" s="52" t="s">
        <v>27</v>
      </c>
      <c r="J265" s="52" t="s">
        <v>1421</v>
      </c>
      <c r="K265" s="54"/>
      <c r="L265" s="54"/>
      <c r="M265" s="55"/>
      <c r="N265" s="52" t="s">
        <v>958</v>
      </c>
    </row>
    <row r="266" spans="1:14" s="52" customFormat="1">
      <c r="A266" s="81">
        <f t="shared" si="227"/>
        <v>262</v>
      </c>
      <c r="B266" s="52" t="s">
        <v>1422</v>
      </c>
      <c r="C266" s="81">
        <f t="shared" si="227"/>
        <v>262</v>
      </c>
      <c r="D266" s="52" t="s">
        <v>1423</v>
      </c>
      <c r="E266" s="81">
        <f t="shared" ref="E266" si="229">E265+1</f>
        <v>262</v>
      </c>
      <c r="F266" s="52" t="s">
        <v>1331</v>
      </c>
      <c r="G266" s="52" t="s">
        <v>958</v>
      </c>
      <c r="H266" s="52" t="s">
        <v>27</v>
      </c>
      <c r="J266" s="52" t="s">
        <v>1424</v>
      </c>
      <c r="K266" s="54"/>
      <c r="L266" s="54"/>
      <c r="M266" s="55"/>
      <c r="N266" s="52" t="s">
        <v>958</v>
      </c>
    </row>
    <row r="267" spans="1:14" s="52" customFormat="1">
      <c r="A267" s="81">
        <f t="shared" si="227"/>
        <v>263</v>
      </c>
      <c r="B267" s="52" t="s">
        <v>1425</v>
      </c>
      <c r="C267" s="81">
        <f t="shared" si="227"/>
        <v>263</v>
      </c>
      <c r="D267" s="52" t="s">
        <v>1426</v>
      </c>
      <c r="E267" s="81">
        <f t="shared" ref="E267" si="230">E266+1</f>
        <v>263</v>
      </c>
      <c r="F267" s="52" t="s">
        <v>1331</v>
      </c>
      <c r="G267" s="52" t="s">
        <v>958</v>
      </c>
      <c r="H267" s="52" t="s">
        <v>27</v>
      </c>
      <c r="J267" s="52" t="s">
        <v>1427</v>
      </c>
      <c r="K267" s="54"/>
      <c r="L267" s="54"/>
      <c r="M267" s="55"/>
      <c r="N267" s="52" t="s">
        <v>958</v>
      </c>
    </row>
    <row r="268" spans="1:14" s="52" customFormat="1">
      <c r="A268" s="81">
        <f t="shared" si="227"/>
        <v>264</v>
      </c>
      <c r="B268" s="52" t="s">
        <v>1428</v>
      </c>
      <c r="C268" s="81">
        <f t="shared" si="227"/>
        <v>264</v>
      </c>
      <c r="D268" s="52" t="s">
        <v>1429</v>
      </c>
      <c r="E268" s="81">
        <f t="shared" ref="E268" si="231">E267+1</f>
        <v>264</v>
      </c>
      <c r="F268" s="52" t="s">
        <v>1331</v>
      </c>
      <c r="G268" s="52" t="s">
        <v>958</v>
      </c>
      <c r="H268" s="52" t="s">
        <v>27</v>
      </c>
      <c r="J268" s="52" t="s">
        <v>1430</v>
      </c>
      <c r="K268" s="54"/>
      <c r="L268" s="54"/>
      <c r="M268" s="55"/>
      <c r="N268" s="52" t="s">
        <v>958</v>
      </c>
    </row>
    <row r="269" spans="1:14" s="52" customFormat="1">
      <c r="A269" s="81">
        <f t="shared" si="227"/>
        <v>265</v>
      </c>
      <c r="B269" s="52" t="s">
        <v>1431</v>
      </c>
      <c r="C269" s="81">
        <f t="shared" si="227"/>
        <v>265</v>
      </c>
      <c r="D269" s="52" t="s">
        <v>1432</v>
      </c>
      <c r="E269" s="81">
        <f t="shared" ref="E269" si="232">E268+1</f>
        <v>265</v>
      </c>
      <c r="F269" s="52" t="s">
        <v>1331</v>
      </c>
      <c r="G269" s="52" t="s">
        <v>958</v>
      </c>
      <c r="H269" s="52" t="s">
        <v>27</v>
      </c>
      <c r="J269" s="52" t="s">
        <v>1433</v>
      </c>
      <c r="K269" s="54"/>
      <c r="L269" s="54"/>
      <c r="M269" s="55"/>
      <c r="N269" s="52" t="s">
        <v>958</v>
      </c>
    </row>
    <row r="270" spans="1:14" s="52" customFormat="1">
      <c r="A270" s="81">
        <f t="shared" si="227"/>
        <v>266</v>
      </c>
      <c r="B270" s="52" t="s">
        <v>1434</v>
      </c>
      <c r="C270" s="81">
        <f t="shared" si="227"/>
        <v>266</v>
      </c>
      <c r="D270" s="52" t="s">
        <v>1435</v>
      </c>
      <c r="E270" s="81">
        <f t="shared" ref="E270" si="233">E269+1</f>
        <v>266</v>
      </c>
      <c r="F270" s="52" t="s">
        <v>1331</v>
      </c>
      <c r="G270" s="52" t="s">
        <v>958</v>
      </c>
      <c r="H270" s="52" t="s">
        <v>27</v>
      </c>
      <c r="J270" s="52" t="s">
        <v>1436</v>
      </c>
      <c r="K270" s="54"/>
      <c r="L270" s="54"/>
      <c r="M270" s="55"/>
      <c r="N270" s="52" t="s">
        <v>958</v>
      </c>
    </row>
    <row r="271" spans="1:14" s="52" customFormat="1">
      <c r="A271" s="81">
        <f t="shared" si="227"/>
        <v>267</v>
      </c>
      <c r="B271" s="52" t="s">
        <v>1437</v>
      </c>
      <c r="C271" s="81">
        <f t="shared" si="227"/>
        <v>267</v>
      </c>
      <c r="D271" s="52" t="s">
        <v>1438</v>
      </c>
      <c r="E271" s="81">
        <f t="shared" ref="E271" si="234">E270+1</f>
        <v>267</v>
      </c>
      <c r="F271" s="52" t="s">
        <v>1331</v>
      </c>
      <c r="G271" s="52" t="s">
        <v>958</v>
      </c>
      <c r="H271" s="52" t="s">
        <v>27</v>
      </c>
      <c r="J271" s="52" t="s">
        <v>1439</v>
      </c>
      <c r="K271" s="54"/>
      <c r="L271" s="54"/>
      <c r="M271" s="55"/>
      <c r="N271" s="52" t="s">
        <v>958</v>
      </c>
    </row>
    <row r="272" spans="1:14" s="52" customFormat="1">
      <c r="A272" s="81">
        <f t="shared" si="227"/>
        <v>268</v>
      </c>
      <c r="B272" s="52" t="s">
        <v>1440</v>
      </c>
      <c r="C272" s="81">
        <f t="shared" si="227"/>
        <v>268</v>
      </c>
      <c r="D272" s="52" t="s">
        <v>1441</v>
      </c>
      <c r="E272" s="81">
        <f t="shared" ref="E272" si="235">E271+1</f>
        <v>268</v>
      </c>
      <c r="F272" s="52" t="s">
        <v>1331</v>
      </c>
      <c r="G272" s="52" t="s">
        <v>958</v>
      </c>
      <c r="H272" s="52" t="s">
        <v>27</v>
      </c>
      <c r="J272" s="52" t="s">
        <v>1442</v>
      </c>
      <c r="K272" s="54"/>
      <c r="L272" s="54"/>
      <c r="M272" s="55"/>
      <c r="N272" s="52" t="s">
        <v>958</v>
      </c>
    </row>
    <row r="273" spans="1:14" s="52" customFormat="1">
      <c r="A273" s="81">
        <f t="shared" si="227"/>
        <v>269</v>
      </c>
      <c r="B273" s="52" t="s">
        <v>1443</v>
      </c>
      <c r="C273" s="81">
        <f t="shared" si="227"/>
        <v>269</v>
      </c>
      <c r="D273" s="52" t="s">
        <v>1444</v>
      </c>
      <c r="E273" s="81">
        <f t="shared" ref="E273" si="236">E272+1</f>
        <v>269</v>
      </c>
      <c r="F273" s="52" t="s">
        <v>1331</v>
      </c>
      <c r="G273" s="52" t="s">
        <v>958</v>
      </c>
      <c r="H273" s="52" t="s">
        <v>27</v>
      </c>
      <c r="J273" s="52" t="s">
        <v>1445</v>
      </c>
      <c r="K273" s="54"/>
      <c r="L273" s="54"/>
      <c r="M273" s="55"/>
      <c r="N273" s="52" t="s">
        <v>958</v>
      </c>
    </row>
    <row r="274" spans="1:14" s="52" customFormat="1">
      <c r="A274" s="81">
        <f t="shared" si="227"/>
        <v>270</v>
      </c>
      <c r="B274" s="52" t="s">
        <v>1446</v>
      </c>
      <c r="C274" s="81">
        <f t="shared" si="227"/>
        <v>270</v>
      </c>
      <c r="D274" s="52" t="s">
        <v>1447</v>
      </c>
      <c r="E274" s="81">
        <f t="shared" ref="E274" si="237">E273+1</f>
        <v>270</v>
      </c>
      <c r="F274" s="52" t="s">
        <v>1331</v>
      </c>
      <c r="G274" s="52" t="s">
        <v>958</v>
      </c>
      <c r="H274" s="52" t="s">
        <v>27</v>
      </c>
      <c r="J274" s="52" t="s">
        <v>1448</v>
      </c>
      <c r="K274" s="54"/>
      <c r="L274" s="54"/>
      <c r="M274" s="55"/>
      <c r="N274" s="52" t="s">
        <v>958</v>
      </c>
    </row>
    <row r="275" spans="1:14" s="52" customFormat="1">
      <c r="A275" s="81">
        <f t="shared" si="227"/>
        <v>271</v>
      </c>
      <c r="B275" s="52" t="s">
        <v>1449</v>
      </c>
      <c r="C275" s="81">
        <f t="shared" si="227"/>
        <v>271</v>
      </c>
      <c r="D275" s="52" t="s">
        <v>1450</v>
      </c>
      <c r="E275" s="81">
        <f t="shared" ref="E275" si="238">E274+1</f>
        <v>271</v>
      </c>
      <c r="F275" s="52" t="s">
        <v>941</v>
      </c>
      <c r="G275" s="52" t="s">
        <v>745</v>
      </c>
      <c r="H275" s="52" t="s">
        <v>27</v>
      </c>
      <c r="J275" s="52" t="s">
        <v>1451</v>
      </c>
      <c r="K275" s="54"/>
      <c r="L275" s="54"/>
      <c r="M275" s="55"/>
      <c r="N275" s="52" t="s">
        <v>747</v>
      </c>
    </row>
    <row r="276" spans="1:14" s="52" customFormat="1">
      <c r="A276" s="81">
        <f t="shared" si="227"/>
        <v>272</v>
      </c>
      <c r="B276" s="52" t="s">
        <v>1452</v>
      </c>
      <c r="C276" s="81">
        <f t="shared" si="227"/>
        <v>272</v>
      </c>
      <c r="D276" s="52" t="s">
        <v>1453</v>
      </c>
      <c r="E276" s="81">
        <f t="shared" ref="E276" si="239">E275+1</f>
        <v>272</v>
      </c>
      <c r="F276" s="52" t="s">
        <v>941</v>
      </c>
      <c r="G276" s="52" t="s">
        <v>745</v>
      </c>
      <c r="H276" s="52" t="s">
        <v>27</v>
      </c>
      <c r="J276" s="52" t="s">
        <v>1454</v>
      </c>
      <c r="K276" s="54"/>
      <c r="L276" s="54"/>
      <c r="M276" s="55"/>
      <c r="N276" s="52" t="s">
        <v>747</v>
      </c>
    </row>
    <row r="277" spans="1:14" s="52" customFormat="1">
      <c r="A277" s="81">
        <f t="shared" si="227"/>
        <v>273</v>
      </c>
      <c r="B277" s="52" t="s">
        <v>1455</v>
      </c>
      <c r="C277" s="81">
        <f t="shared" si="227"/>
        <v>273</v>
      </c>
      <c r="D277" s="52" t="s">
        <v>1456</v>
      </c>
      <c r="E277" s="81">
        <f t="shared" ref="E277" si="240">E276+1</f>
        <v>273</v>
      </c>
      <c r="F277" s="52" t="s">
        <v>941</v>
      </c>
      <c r="G277" s="52" t="s">
        <v>745</v>
      </c>
      <c r="H277" s="52" t="s">
        <v>27</v>
      </c>
      <c r="J277" s="52" t="s">
        <v>1457</v>
      </c>
      <c r="K277" s="54"/>
      <c r="L277" s="54"/>
      <c r="M277" s="55"/>
      <c r="N277" s="52" t="s">
        <v>747</v>
      </c>
    </row>
    <row r="278" spans="1:14" s="52" customFormat="1">
      <c r="A278" s="81">
        <f t="shared" si="227"/>
        <v>274</v>
      </c>
      <c r="B278" s="52" t="s">
        <v>1458</v>
      </c>
      <c r="C278" s="81">
        <f t="shared" si="227"/>
        <v>274</v>
      </c>
      <c r="D278" s="52" t="s">
        <v>1459</v>
      </c>
      <c r="E278" s="81">
        <f t="shared" ref="E278" si="241">E277+1</f>
        <v>274</v>
      </c>
      <c r="F278" s="52" t="s">
        <v>941</v>
      </c>
      <c r="G278" s="52" t="s">
        <v>745</v>
      </c>
      <c r="H278" s="52" t="s">
        <v>27</v>
      </c>
      <c r="J278" s="52" t="s">
        <v>1460</v>
      </c>
      <c r="K278" s="54"/>
      <c r="L278" s="54"/>
      <c r="M278" s="55"/>
      <c r="N278" s="52" t="s">
        <v>747</v>
      </c>
    </row>
    <row r="279" spans="1:14" s="52" customFormat="1">
      <c r="A279" s="81">
        <f t="shared" si="227"/>
        <v>275</v>
      </c>
      <c r="B279" s="52" t="s">
        <v>1461</v>
      </c>
      <c r="C279" s="81">
        <f t="shared" si="227"/>
        <v>275</v>
      </c>
      <c r="D279" s="52" t="s">
        <v>1462</v>
      </c>
      <c r="E279" s="81">
        <f t="shared" ref="E279" si="242">E278+1</f>
        <v>275</v>
      </c>
      <c r="F279" s="52" t="s">
        <v>941</v>
      </c>
      <c r="G279" s="52" t="s">
        <v>745</v>
      </c>
      <c r="H279" s="52" t="s">
        <v>27</v>
      </c>
      <c r="J279" s="52" t="s">
        <v>1463</v>
      </c>
      <c r="K279" s="54"/>
      <c r="L279" s="54"/>
      <c r="M279" s="55"/>
      <c r="N279" s="52" t="s">
        <v>747</v>
      </c>
    </row>
    <row r="280" spans="1:14" s="52" customFormat="1">
      <c r="A280" s="81">
        <f t="shared" si="227"/>
        <v>276</v>
      </c>
      <c r="B280" s="52" t="s">
        <v>1464</v>
      </c>
      <c r="C280" s="81">
        <f t="shared" si="227"/>
        <v>276</v>
      </c>
      <c r="D280" s="52" t="s">
        <v>1465</v>
      </c>
      <c r="E280" s="81">
        <f t="shared" ref="E280" si="243">E279+1</f>
        <v>276</v>
      </c>
      <c r="F280" s="52" t="s">
        <v>941</v>
      </c>
      <c r="G280" s="52" t="s">
        <v>745</v>
      </c>
      <c r="H280" s="52" t="s">
        <v>27</v>
      </c>
      <c r="J280" s="52" t="s">
        <v>1466</v>
      </c>
      <c r="K280" s="54"/>
      <c r="L280" s="54"/>
      <c r="M280" s="55"/>
      <c r="N280" s="52" t="s">
        <v>747</v>
      </c>
    </row>
    <row r="281" spans="1:14" s="52" customFormat="1">
      <c r="A281" s="81">
        <f t="shared" si="227"/>
        <v>277</v>
      </c>
      <c r="B281" s="52" t="s">
        <v>1467</v>
      </c>
      <c r="C281" s="81">
        <f t="shared" si="227"/>
        <v>277</v>
      </c>
      <c r="D281" s="52" t="s">
        <v>1468</v>
      </c>
      <c r="E281" s="81">
        <f t="shared" ref="E281" si="244">E280+1</f>
        <v>277</v>
      </c>
      <c r="F281" s="52" t="s">
        <v>941</v>
      </c>
      <c r="G281" s="52" t="s">
        <v>745</v>
      </c>
      <c r="H281" s="52" t="s">
        <v>27</v>
      </c>
      <c r="J281" s="52" t="s">
        <v>1469</v>
      </c>
      <c r="K281" s="54"/>
      <c r="L281" s="54"/>
      <c r="M281" s="55"/>
      <c r="N281" s="52" t="s">
        <v>747</v>
      </c>
    </row>
    <row r="282" spans="1:14" s="52" customFormat="1">
      <c r="A282" s="81">
        <f t="shared" si="227"/>
        <v>278</v>
      </c>
      <c r="B282" s="52" t="s">
        <v>1470</v>
      </c>
      <c r="C282" s="81">
        <f t="shared" si="227"/>
        <v>278</v>
      </c>
      <c r="D282" s="52" t="s">
        <v>1471</v>
      </c>
      <c r="E282" s="81">
        <f t="shared" ref="E282" si="245">E281+1</f>
        <v>278</v>
      </c>
      <c r="F282" s="52" t="s">
        <v>941</v>
      </c>
      <c r="G282" s="52" t="s">
        <v>745</v>
      </c>
      <c r="H282" s="52" t="s">
        <v>27</v>
      </c>
      <c r="J282" s="52" t="s">
        <v>1472</v>
      </c>
      <c r="K282" s="54"/>
      <c r="L282" s="54"/>
      <c r="M282" s="55"/>
      <c r="N282" s="52" t="s">
        <v>747</v>
      </c>
    </row>
    <row r="283" spans="1:14" s="52" customFormat="1">
      <c r="A283" s="81">
        <f t="shared" si="227"/>
        <v>279</v>
      </c>
      <c r="B283" s="52" t="s">
        <v>1473</v>
      </c>
      <c r="C283" s="81">
        <f t="shared" si="227"/>
        <v>279</v>
      </c>
      <c r="D283" s="52" t="s">
        <v>1474</v>
      </c>
      <c r="E283" s="81">
        <f t="shared" ref="E283" si="246">E282+1</f>
        <v>279</v>
      </c>
      <c r="F283" s="52" t="s">
        <v>941</v>
      </c>
      <c r="G283" s="52" t="s">
        <v>745</v>
      </c>
      <c r="H283" s="52" t="s">
        <v>27</v>
      </c>
      <c r="J283" s="52" t="s">
        <v>1475</v>
      </c>
      <c r="K283" s="54"/>
      <c r="L283" s="54"/>
      <c r="M283" s="55"/>
      <c r="N283" s="52" t="s">
        <v>747</v>
      </c>
    </row>
    <row r="284" spans="1:14" s="52" customFormat="1">
      <c r="A284" s="81">
        <f t="shared" si="227"/>
        <v>280</v>
      </c>
      <c r="B284" s="52" t="s">
        <v>1476</v>
      </c>
      <c r="C284" s="81">
        <f t="shared" si="227"/>
        <v>280</v>
      </c>
      <c r="D284" s="52" t="s">
        <v>1477</v>
      </c>
      <c r="E284" s="81">
        <f t="shared" ref="E284" si="247">E283+1</f>
        <v>280</v>
      </c>
      <c r="F284" s="52" t="s">
        <v>941</v>
      </c>
      <c r="G284" s="52" t="s">
        <v>745</v>
      </c>
      <c r="H284" s="52" t="s">
        <v>27</v>
      </c>
      <c r="J284" s="52" t="s">
        <v>1478</v>
      </c>
      <c r="K284" s="54"/>
      <c r="L284" s="54"/>
      <c r="M284" s="55"/>
      <c r="N284" s="52" t="s">
        <v>747</v>
      </c>
    </row>
    <row r="285" spans="1:14" s="52" customFormat="1">
      <c r="A285" s="81">
        <f t="shared" si="227"/>
        <v>281</v>
      </c>
      <c r="B285" s="52" t="s">
        <v>1479</v>
      </c>
      <c r="C285" s="81">
        <f t="shared" si="227"/>
        <v>281</v>
      </c>
      <c r="D285" s="52" t="s">
        <v>1480</v>
      </c>
      <c r="E285" s="81">
        <f t="shared" ref="E285" si="248">E284+1</f>
        <v>281</v>
      </c>
      <c r="F285" s="52" t="s">
        <v>911</v>
      </c>
      <c r="G285" s="52" t="s">
        <v>620</v>
      </c>
      <c r="H285" s="52" t="s">
        <v>27</v>
      </c>
      <c r="J285" s="52" t="s">
        <v>1481</v>
      </c>
      <c r="K285" s="54"/>
      <c r="L285" s="54"/>
      <c r="M285" s="55"/>
      <c r="N285" s="52" t="s">
        <v>923</v>
      </c>
    </row>
    <row r="286" spans="1:14" s="52" customFormat="1">
      <c r="A286" s="81">
        <f t="shared" si="227"/>
        <v>282</v>
      </c>
      <c r="B286" s="52" t="s">
        <v>1482</v>
      </c>
      <c r="C286" s="81">
        <f t="shared" si="227"/>
        <v>282</v>
      </c>
      <c r="D286" s="52" t="s">
        <v>1483</v>
      </c>
      <c r="E286" s="81">
        <f t="shared" ref="E286" si="249">E285+1</f>
        <v>282</v>
      </c>
      <c r="F286" s="52" t="s">
        <v>911</v>
      </c>
      <c r="G286" s="52" t="s">
        <v>620</v>
      </c>
      <c r="H286" s="52" t="s">
        <v>27</v>
      </c>
      <c r="J286" s="52" t="s">
        <v>1484</v>
      </c>
      <c r="K286" s="54"/>
      <c r="L286" s="54"/>
      <c r="M286" s="55"/>
      <c r="N286" s="52" t="s">
        <v>923</v>
      </c>
    </row>
    <row r="287" spans="1:14" s="52" customFormat="1">
      <c r="A287" s="81">
        <f t="shared" si="227"/>
        <v>283</v>
      </c>
      <c r="B287" s="52" t="s">
        <v>1485</v>
      </c>
      <c r="C287" s="81">
        <f t="shared" si="227"/>
        <v>283</v>
      </c>
      <c r="D287" s="52" t="s">
        <v>1486</v>
      </c>
      <c r="E287" s="81">
        <f t="shared" ref="E287" si="250">E286+1</f>
        <v>283</v>
      </c>
      <c r="F287" s="52" t="s">
        <v>911</v>
      </c>
      <c r="G287" s="52" t="s">
        <v>620</v>
      </c>
      <c r="H287" s="52" t="s">
        <v>27</v>
      </c>
      <c r="J287" s="52" t="s">
        <v>1487</v>
      </c>
      <c r="K287" s="54"/>
      <c r="L287" s="54"/>
      <c r="M287" s="55"/>
      <c r="N287" s="52" t="s">
        <v>923</v>
      </c>
    </row>
    <row r="288" spans="1:14" s="52" customFormat="1">
      <c r="A288" s="81">
        <f t="shared" si="227"/>
        <v>284</v>
      </c>
      <c r="B288" s="52" t="s">
        <v>1488</v>
      </c>
      <c r="C288" s="81">
        <f t="shared" si="227"/>
        <v>284</v>
      </c>
      <c r="D288" s="52" t="s">
        <v>1489</v>
      </c>
      <c r="E288" s="81">
        <f t="shared" ref="E288" si="251">E287+1</f>
        <v>284</v>
      </c>
      <c r="F288" s="52" t="s">
        <v>911</v>
      </c>
      <c r="G288" s="52" t="s">
        <v>921</v>
      </c>
      <c r="H288" s="52" t="s">
        <v>27</v>
      </c>
      <c r="J288" s="52" t="s">
        <v>1490</v>
      </c>
      <c r="K288" s="54"/>
      <c r="L288" s="54"/>
      <c r="M288" s="55"/>
      <c r="N288" s="52" t="s">
        <v>923</v>
      </c>
    </row>
    <row r="289" spans="1:14" s="52" customFormat="1">
      <c r="A289" s="81">
        <f t="shared" si="227"/>
        <v>285</v>
      </c>
      <c r="B289" s="52" t="s">
        <v>1491</v>
      </c>
      <c r="C289" s="81">
        <f t="shared" si="227"/>
        <v>285</v>
      </c>
      <c r="D289" s="52" t="s">
        <v>1492</v>
      </c>
      <c r="E289" s="81">
        <f t="shared" ref="E289" si="252">E288+1</f>
        <v>285</v>
      </c>
      <c r="F289" s="52" t="s">
        <v>911</v>
      </c>
      <c r="G289" s="52" t="s">
        <v>921</v>
      </c>
      <c r="H289" s="52" t="s">
        <v>27</v>
      </c>
      <c r="J289" s="52" t="s">
        <v>1493</v>
      </c>
      <c r="K289" s="54"/>
      <c r="L289" s="54"/>
      <c r="M289" s="55"/>
      <c r="N289" s="52" t="s">
        <v>923</v>
      </c>
    </row>
    <row r="290" spans="1:14" s="52" customFormat="1">
      <c r="A290" s="81">
        <f t="shared" si="227"/>
        <v>286</v>
      </c>
      <c r="B290" s="52" t="s">
        <v>1494</v>
      </c>
      <c r="C290" s="81">
        <f t="shared" si="227"/>
        <v>286</v>
      </c>
      <c r="D290" s="52" t="s">
        <v>1495</v>
      </c>
      <c r="E290" s="81">
        <f t="shared" ref="E290" si="253">E289+1</f>
        <v>286</v>
      </c>
      <c r="F290" s="52" t="s">
        <v>911</v>
      </c>
      <c r="G290" s="52" t="s">
        <v>921</v>
      </c>
      <c r="H290" s="52" t="s">
        <v>27</v>
      </c>
      <c r="J290" s="52" t="s">
        <v>1496</v>
      </c>
      <c r="K290" s="54"/>
      <c r="L290" s="54"/>
      <c r="M290" s="55"/>
      <c r="N290" s="52" t="s">
        <v>923</v>
      </c>
    </row>
    <row r="291" spans="1:14" s="52" customFormat="1">
      <c r="A291" s="81">
        <f t="shared" si="227"/>
        <v>287</v>
      </c>
      <c r="B291" s="52" t="s">
        <v>1497</v>
      </c>
      <c r="C291" s="81">
        <f t="shared" si="227"/>
        <v>287</v>
      </c>
      <c r="D291" s="52" t="s">
        <v>1498</v>
      </c>
      <c r="E291" s="81">
        <f t="shared" ref="E291" si="254">E290+1</f>
        <v>287</v>
      </c>
      <c r="F291" s="52" t="s">
        <v>911</v>
      </c>
      <c r="G291" s="52" t="s">
        <v>610</v>
      </c>
      <c r="H291" s="52" t="s">
        <v>27</v>
      </c>
      <c r="J291" s="52" t="s">
        <v>1499</v>
      </c>
      <c r="K291" s="54"/>
      <c r="L291" s="54"/>
      <c r="M291" s="55"/>
      <c r="N291" s="52" t="s">
        <v>923</v>
      </c>
    </row>
    <row r="292" spans="1:14" s="52" customFormat="1">
      <c r="A292" s="81">
        <f t="shared" si="227"/>
        <v>288</v>
      </c>
      <c r="B292" s="52" t="s">
        <v>1500</v>
      </c>
      <c r="C292" s="81">
        <f t="shared" si="227"/>
        <v>288</v>
      </c>
      <c r="D292" s="52" t="s">
        <v>1501</v>
      </c>
      <c r="E292" s="81">
        <f t="shared" ref="E292" si="255">E291+1</f>
        <v>288</v>
      </c>
      <c r="F292" s="52" t="s">
        <v>911</v>
      </c>
      <c r="G292" s="52" t="s">
        <v>610</v>
      </c>
      <c r="H292" s="52" t="s">
        <v>27</v>
      </c>
      <c r="J292" s="52" t="s">
        <v>1502</v>
      </c>
      <c r="K292" s="54"/>
      <c r="L292" s="54"/>
      <c r="M292" s="55"/>
      <c r="N292" s="52" t="s">
        <v>923</v>
      </c>
    </row>
    <row r="293" spans="1:14" s="52" customFormat="1">
      <c r="A293" s="81">
        <f t="shared" si="227"/>
        <v>289</v>
      </c>
      <c r="B293" s="52" t="s">
        <v>1503</v>
      </c>
      <c r="C293" s="81">
        <f t="shared" si="227"/>
        <v>289</v>
      </c>
      <c r="D293" s="52" t="s">
        <v>1504</v>
      </c>
      <c r="E293" s="81">
        <f t="shared" ref="E293" si="256">E292+1</f>
        <v>289</v>
      </c>
      <c r="F293" s="52" t="s">
        <v>911</v>
      </c>
      <c r="G293" s="52" t="s">
        <v>610</v>
      </c>
      <c r="H293" s="52" t="s">
        <v>27</v>
      </c>
      <c r="J293" s="52" t="s">
        <v>1505</v>
      </c>
      <c r="K293" s="54"/>
      <c r="L293" s="54"/>
      <c r="M293" s="55"/>
      <c r="N293" s="52" t="s">
        <v>923</v>
      </c>
    </row>
    <row r="294" spans="1:14" s="52" customFormat="1">
      <c r="A294" s="81">
        <f t="shared" si="227"/>
        <v>290</v>
      </c>
      <c r="B294" s="52" t="s">
        <v>1506</v>
      </c>
      <c r="C294" s="81">
        <f t="shared" si="227"/>
        <v>290</v>
      </c>
      <c r="D294" s="52" t="s">
        <v>1507</v>
      </c>
      <c r="E294" s="81">
        <f t="shared" ref="E294" si="257">E293+1</f>
        <v>290</v>
      </c>
      <c r="F294" s="52" t="s">
        <v>911</v>
      </c>
      <c r="G294" s="52" t="s">
        <v>610</v>
      </c>
      <c r="H294" s="52" t="s">
        <v>27</v>
      </c>
      <c r="J294" s="52" t="s">
        <v>1508</v>
      </c>
      <c r="K294" s="54"/>
      <c r="L294" s="54"/>
      <c r="M294" s="55"/>
      <c r="N294" s="52" t="s">
        <v>923</v>
      </c>
    </row>
    <row r="295" spans="1:14" s="52" customFormat="1">
      <c r="A295" s="81">
        <f t="shared" si="227"/>
        <v>291</v>
      </c>
      <c r="B295" s="52" t="s">
        <v>1509</v>
      </c>
      <c r="C295" s="81">
        <f t="shared" si="227"/>
        <v>291</v>
      </c>
      <c r="D295" s="52" t="s">
        <v>1510</v>
      </c>
      <c r="E295" s="81">
        <f t="shared" ref="E295" si="258">E294+1</f>
        <v>291</v>
      </c>
      <c r="F295" s="52" t="s">
        <v>911</v>
      </c>
      <c r="G295" s="52" t="s">
        <v>610</v>
      </c>
      <c r="H295" s="52" t="s">
        <v>27</v>
      </c>
      <c r="J295" s="52" t="s">
        <v>1511</v>
      </c>
      <c r="K295" s="54"/>
      <c r="L295" s="54"/>
      <c r="M295" s="55"/>
      <c r="N295" s="52" t="s">
        <v>923</v>
      </c>
    </row>
    <row r="296" spans="1:14" s="52" customFormat="1">
      <c r="A296" s="81">
        <f t="shared" si="227"/>
        <v>292</v>
      </c>
      <c r="B296" s="52" t="s">
        <v>1512</v>
      </c>
      <c r="C296" s="81">
        <f t="shared" si="227"/>
        <v>292</v>
      </c>
      <c r="D296" s="52" t="s">
        <v>1513</v>
      </c>
      <c r="E296" s="81">
        <f t="shared" ref="E296" si="259">E295+1</f>
        <v>292</v>
      </c>
      <c r="F296" s="52" t="s">
        <v>911</v>
      </c>
      <c r="G296" s="52" t="s">
        <v>610</v>
      </c>
      <c r="H296" s="52" t="s">
        <v>27</v>
      </c>
      <c r="J296" s="52" t="s">
        <v>1514</v>
      </c>
      <c r="K296" s="54"/>
      <c r="L296" s="54"/>
      <c r="M296" s="55"/>
      <c r="N296" s="52" t="s">
        <v>923</v>
      </c>
    </row>
    <row r="297" spans="1:14" s="52" customFormat="1">
      <c r="A297" s="81">
        <f t="shared" si="227"/>
        <v>293</v>
      </c>
      <c r="B297" s="52" t="s">
        <v>1515</v>
      </c>
      <c r="C297" s="81">
        <f t="shared" si="227"/>
        <v>293</v>
      </c>
      <c r="D297" s="52" t="s">
        <v>1516</v>
      </c>
      <c r="E297" s="81">
        <f t="shared" ref="E297" si="260">E296+1</f>
        <v>293</v>
      </c>
      <c r="F297" s="52" t="s">
        <v>911</v>
      </c>
      <c r="G297" s="52" t="s">
        <v>610</v>
      </c>
      <c r="H297" s="52" t="s">
        <v>27</v>
      </c>
      <c r="J297" s="52" t="s">
        <v>1517</v>
      </c>
      <c r="K297" s="54"/>
      <c r="L297" s="54"/>
      <c r="M297" s="55"/>
      <c r="N297" s="52" t="s">
        <v>923</v>
      </c>
    </row>
    <row r="298" spans="1:14" s="52" customFormat="1">
      <c r="A298" s="81">
        <f t="shared" si="227"/>
        <v>294</v>
      </c>
      <c r="B298" s="52" t="s">
        <v>1518</v>
      </c>
      <c r="C298" s="81">
        <f t="shared" si="227"/>
        <v>294</v>
      </c>
      <c r="D298" s="52" t="s">
        <v>1519</v>
      </c>
      <c r="E298" s="81">
        <f t="shared" ref="E298" si="261">E297+1</f>
        <v>294</v>
      </c>
      <c r="F298" s="52" t="s">
        <v>911</v>
      </c>
      <c r="G298" s="52" t="s">
        <v>610</v>
      </c>
      <c r="H298" s="52" t="s">
        <v>27</v>
      </c>
      <c r="J298" s="52" t="s">
        <v>1520</v>
      </c>
      <c r="K298" s="54"/>
      <c r="L298" s="54"/>
      <c r="M298" s="55"/>
      <c r="N298" s="52" t="s">
        <v>923</v>
      </c>
    </row>
    <row r="299" spans="1:14" s="52" customFormat="1">
      <c r="A299" s="81">
        <f t="shared" si="227"/>
        <v>295</v>
      </c>
      <c r="B299" s="52" t="s">
        <v>1521</v>
      </c>
      <c r="C299" s="81">
        <f t="shared" si="227"/>
        <v>295</v>
      </c>
      <c r="D299" s="52" t="s">
        <v>1522</v>
      </c>
      <c r="E299" s="81">
        <f t="shared" ref="E299" si="262">E298+1</f>
        <v>295</v>
      </c>
      <c r="F299" s="52" t="s">
        <v>911</v>
      </c>
      <c r="G299" s="52" t="s">
        <v>610</v>
      </c>
      <c r="H299" s="52" t="s">
        <v>27</v>
      </c>
      <c r="J299" s="52" t="s">
        <v>1523</v>
      </c>
      <c r="K299" s="54"/>
      <c r="L299" s="54"/>
      <c r="M299" s="55"/>
      <c r="N299" s="52" t="s">
        <v>923</v>
      </c>
    </row>
    <row r="300" spans="1:14" s="52" customFormat="1">
      <c r="A300" s="81">
        <f t="shared" si="227"/>
        <v>296</v>
      </c>
      <c r="B300" s="52" t="s">
        <v>1524</v>
      </c>
      <c r="C300" s="81">
        <f t="shared" si="227"/>
        <v>296</v>
      </c>
      <c r="D300" s="52" t="s">
        <v>1525</v>
      </c>
      <c r="E300" s="81">
        <f t="shared" ref="E300" si="263">E299+1</f>
        <v>296</v>
      </c>
      <c r="F300" s="52" t="s">
        <v>911</v>
      </c>
      <c r="G300" s="52" t="s">
        <v>620</v>
      </c>
      <c r="H300" s="52" t="s">
        <v>27</v>
      </c>
      <c r="J300" s="52" t="s">
        <v>1526</v>
      </c>
      <c r="K300" s="54"/>
      <c r="L300" s="54"/>
      <c r="M300" s="55"/>
      <c r="N300" s="52" t="s">
        <v>623</v>
      </c>
    </row>
    <row r="301" spans="1:14" s="52" customFormat="1">
      <c r="A301" s="81">
        <f t="shared" si="227"/>
        <v>297</v>
      </c>
      <c r="B301" s="52" t="s">
        <v>1527</v>
      </c>
      <c r="C301" s="81">
        <f t="shared" si="227"/>
        <v>297</v>
      </c>
      <c r="D301" s="52" t="s">
        <v>1528</v>
      </c>
      <c r="E301" s="81">
        <f t="shared" ref="E301" si="264">E300+1</f>
        <v>297</v>
      </c>
      <c r="F301" s="52" t="s">
        <v>1529</v>
      </c>
      <c r="G301" s="52" t="s">
        <v>704</v>
      </c>
      <c r="H301" s="52" t="s">
        <v>27</v>
      </c>
      <c r="J301" s="52" t="s">
        <v>1530</v>
      </c>
      <c r="K301" s="54"/>
      <c r="L301" s="54"/>
      <c r="M301" s="55"/>
      <c r="N301" s="52" t="s">
        <v>704</v>
      </c>
    </row>
    <row r="302" spans="1:14" s="52" customFormat="1">
      <c r="A302" s="81">
        <f t="shared" si="227"/>
        <v>298</v>
      </c>
      <c r="B302" s="52" t="s">
        <v>1531</v>
      </c>
      <c r="C302" s="81">
        <f t="shared" si="227"/>
        <v>298</v>
      </c>
      <c r="D302" s="52" t="s">
        <v>1532</v>
      </c>
      <c r="E302" s="81">
        <f t="shared" ref="E302" si="265">E301+1</f>
        <v>298</v>
      </c>
      <c r="F302" s="52" t="s">
        <v>1529</v>
      </c>
      <c r="G302" s="52" t="s">
        <v>704</v>
      </c>
      <c r="H302" s="52" t="s">
        <v>27</v>
      </c>
      <c r="J302" s="52" t="s">
        <v>1533</v>
      </c>
      <c r="K302" s="54"/>
      <c r="L302" s="54"/>
      <c r="M302" s="55"/>
      <c r="N302" s="52" t="s">
        <v>704</v>
      </c>
    </row>
    <row r="303" spans="1:14" s="52" customFormat="1">
      <c r="A303" s="81">
        <f t="shared" si="227"/>
        <v>299</v>
      </c>
      <c r="B303" s="52" t="s">
        <v>1534</v>
      </c>
      <c r="C303" s="81">
        <f t="shared" si="227"/>
        <v>299</v>
      </c>
      <c r="D303" s="52" t="s">
        <v>1535</v>
      </c>
      <c r="E303" s="81">
        <f t="shared" ref="E303" si="266">E302+1</f>
        <v>299</v>
      </c>
      <c r="F303" s="52" t="s">
        <v>1529</v>
      </c>
      <c r="G303" s="52" t="s">
        <v>704</v>
      </c>
      <c r="H303" s="52" t="s">
        <v>27</v>
      </c>
      <c r="J303" s="52" t="s">
        <v>1536</v>
      </c>
      <c r="K303" s="54"/>
      <c r="L303" s="54"/>
      <c r="M303" s="55"/>
      <c r="N303" s="52" t="s">
        <v>704</v>
      </c>
    </row>
    <row r="304" spans="1:14" s="52" customFormat="1">
      <c r="A304" s="81">
        <f t="shared" si="227"/>
        <v>300</v>
      </c>
      <c r="B304" s="52" t="s">
        <v>1537</v>
      </c>
      <c r="C304" s="81">
        <f t="shared" si="227"/>
        <v>300</v>
      </c>
      <c r="D304" s="52" t="s">
        <v>1538</v>
      </c>
      <c r="E304" s="81">
        <f t="shared" ref="E304" si="267">E303+1</f>
        <v>300</v>
      </c>
      <c r="F304" s="52" t="s">
        <v>1529</v>
      </c>
      <c r="G304" s="52" t="s">
        <v>704</v>
      </c>
      <c r="H304" s="52" t="s">
        <v>27</v>
      </c>
      <c r="J304" s="52" t="s">
        <v>1539</v>
      </c>
      <c r="K304" s="54"/>
      <c r="L304" s="54"/>
      <c r="M304" s="55"/>
      <c r="N304" s="52" t="s">
        <v>704</v>
      </c>
    </row>
    <row r="305" spans="1:14" s="52" customFormat="1">
      <c r="A305" s="81">
        <f t="shared" si="227"/>
        <v>301</v>
      </c>
      <c r="B305" s="52" t="s">
        <v>1540</v>
      </c>
      <c r="C305" s="81">
        <f t="shared" si="227"/>
        <v>301</v>
      </c>
      <c r="D305" s="52" t="s">
        <v>1541</v>
      </c>
      <c r="E305" s="81">
        <f t="shared" ref="E305" si="268">E304+1</f>
        <v>301</v>
      </c>
      <c r="F305" s="52" t="s">
        <v>1529</v>
      </c>
      <c r="G305" s="52" t="s">
        <v>704</v>
      </c>
      <c r="H305" s="52" t="s">
        <v>27</v>
      </c>
      <c r="J305" s="52" t="s">
        <v>1542</v>
      </c>
      <c r="K305" s="54"/>
      <c r="L305" s="54"/>
      <c r="M305" s="55"/>
      <c r="N305" s="52" t="s">
        <v>704</v>
      </c>
    </row>
    <row r="306" spans="1:14" s="52" customFormat="1">
      <c r="A306" s="81">
        <f t="shared" si="227"/>
        <v>302</v>
      </c>
      <c r="B306" s="52" t="s">
        <v>1543</v>
      </c>
      <c r="C306" s="81">
        <f t="shared" si="227"/>
        <v>302</v>
      </c>
      <c r="D306" s="52" t="s">
        <v>1544</v>
      </c>
      <c r="E306" s="81">
        <f t="shared" ref="E306" si="269">E305+1</f>
        <v>302</v>
      </c>
      <c r="F306" s="52" t="s">
        <v>1529</v>
      </c>
      <c r="G306" s="52" t="s">
        <v>704</v>
      </c>
      <c r="H306" s="52" t="s">
        <v>27</v>
      </c>
      <c r="J306" s="52" t="s">
        <v>1545</v>
      </c>
      <c r="K306" s="54"/>
      <c r="L306" s="54"/>
      <c r="M306" s="55"/>
      <c r="N306" s="52" t="s">
        <v>704</v>
      </c>
    </row>
    <row r="307" spans="1:14" s="52" customFormat="1">
      <c r="A307" s="81">
        <f t="shared" si="227"/>
        <v>303</v>
      </c>
      <c r="B307" s="52" t="s">
        <v>1546</v>
      </c>
      <c r="C307" s="81">
        <f t="shared" si="227"/>
        <v>303</v>
      </c>
      <c r="D307" s="52" t="s">
        <v>1547</v>
      </c>
      <c r="E307" s="81">
        <f t="shared" ref="E307" si="270">E306+1</f>
        <v>303</v>
      </c>
      <c r="F307" s="52" t="s">
        <v>1529</v>
      </c>
      <c r="G307" s="52" t="s">
        <v>704</v>
      </c>
      <c r="H307" s="52" t="s">
        <v>27</v>
      </c>
      <c r="J307" s="52" t="s">
        <v>1548</v>
      </c>
      <c r="K307" s="54"/>
      <c r="L307" s="54"/>
      <c r="M307" s="55"/>
      <c r="N307" s="52" t="s">
        <v>704</v>
      </c>
    </row>
    <row r="308" spans="1:14" s="52" customFormat="1">
      <c r="A308" s="81">
        <f t="shared" si="227"/>
        <v>304</v>
      </c>
      <c r="B308" s="52" t="s">
        <v>1549</v>
      </c>
      <c r="C308" s="81">
        <f t="shared" si="227"/>
        <v>304</v>
      </c>
      <c r="D308" s="52" t="s">
        <v>1550</v>
      </c>
      <c r="E308" s="81">
        <f t="shared" ref="E308" si="271">E307+1</f>
        <v>304</v>
      </c>
      <c r="F308" s="52" t="s">
        <v>1529</v>
      </c>
      <c r="G308" s="52" t="s">
        <v>704</v>
      </c>
      <c r="H308" s="52" t="s">
        <v>27</v>
      </c>
      <c r="J308" s="52" t="s">
        <v>1551</v>
      </c>
      <c r="K308" s="54"/>
      <c r="L308" s="54"/>
      <c r="M308" s="55"/>
      <c r="N308" s="52" t="s">
        <v>704</v>
      </c>
    </row>
    <row r="309" spans="1:14" s="52" customFormat="1">
      <c r="A309" s="81">
        <f t="shared" si="227"/>
        <v>305</v>
      </c>
      <c r="B309" s="52" t="s">
        <v>1552</v>
      </c>
      <c r="C309" s="81">
        <f t="shared" si="227"/>
        <v>305</v>
      </c>
      <c r="D309" s="52" t="s">
        <v>1553</v>
      </c>
      <c r="E309" s="81">
        <f t="shared" ref="E309" si="272">E308+1</f>
        <v>305</v>
      </c>
      <c r="F309" s="52" t="s">
        <v>1529</v>
      </c>
      <c r="G309" s="52" t="s">
        <v>704</v>
      </c>
      <c r="H309" s="52" t="s">
        <v>27</v>
      </c>
      <c r="J309" s="52" t="s">
        <v>1554</v>
      </c>
      <c r="K309" s="54"/>
      <c r="L309" s="54"/>
      <c r="M309" s="55"/>
      <c r="N309" s="52" t="s">
        <v>704</v>
      </c>
    </row>
    <row r="310" spans="1:14" s="52" customFormat="1">
      <c r="A310" s="81">
        <f t="shared" si="227"/>
        <v>306</v>
      </c>
      <c r="B310" s="52" t="s">
        <v>1555</v>
      </c>
      <c r="C310" s="81">
        <f t="shared" si="227"/>
        <v>306</v>
      </c>
      <c r="D310" s="52" t="s">
        <v>1556</v>
      </c>
      <c r="E310" s="81">
        <f t="shared" ref="E310" si="273">E309+1</f>
        <v>306</v>
      </c>
      <c r="F310" s="52" t="s">
        <v>1529</v>
      </c>
      <c r="G310" s="52" t="s">
        <v>704</v>
      </c>
      <c r="H310" s="52" t="s">
        <v>27</v>
      </c>
      <c r="J310" s="52" t="s">
        <v>1557</v>
      </c>
      <c r="K310" s="54"/>
      <c r="L310" s="54"/>
      <c r="M310" s="55"/>
      <c r="N310" s="52" t="s">
        <v>704</v>
      </c>
    </row>
    <row r="311" spans="1:14" s="52" customFormat="1">
      <c r="A311" s="81">
        <f t="shared" si="227"/>
        <v>307</v>
      </c>
      <c r="B311" s="52" t="s">
        <v>1558</v>
      </c>
      <c r="C311" s="81">
        <f t="shared" si="227"/>
        <v>307</v>
      </c>
      <c r="D311" s="52" t="s">
        <v>1559</v>
      </c>
      <c r="E311" s="81">
        <f t="shared" ref="E311" si="274">E310+1</f>
        <v>307</v>
      </c>
      <c r="F311" s="52" t="s">
        <v>1331</v>
      </c>
      <c r="G311" s="52" t="s">
        <v>958</v>
      </c>
      <c r="H311" s="52" t="s">
        <v>27</v>
      </c>
      <c r="J311" s="52" t="s">
        <v>1560</v>
      </c>
      <c r="K311" s="54"/>
      <c r="L311" s="54"/>
      <c r="M311" s="55"/>
      <c r="N311" s="52" t="s">
        <v>958</v>
      </c>
    </row>
    <row r="312" spans="1:14" s="52" customFormat="1">
      <c r="A312" s="81">
        <f t="shared" si="227"/>
        <v>308</v>
      </c>
      <c r="B312" s="52" t="s">
        <v>1561</v>
      </c>
      <c r="C312" s="81">
        <f t="shared" si="227"/>
        <v>308</v>
      </c>
      <c r="D312" s="52" t="s">
        <v>1562</v>
      </c>
      <c r="E312" s="81">
        <f t="shared" ref="E312" si="275">E311+1</f>
        <v>308</v>
      </c>
      <c r="F312" s="52" t="s">
        <v>1331</v>
      </c>
      <c r="G312" s="52" t="s">
        <v>958</v>
      </c>
      <c r="H312" s="52" t="s">
        <v>27</v>
      </c>
      <c r="J312" s="52" t="s">
        <v>1563</v>
      </c>
      <c r="K312" s="54"/>
      <c r="L312" s="54"/>
      <c r="M312" s="55"/>
      <c r="N312" s="52" t="s">
        <v>958</v>
      </c>
    </row>
    <row r="313" spans="1:14" s="52" customFormat="1">
      <c r="A313" s="81">
        <f t="shared" si="227"/>
        <v>309</v>
      </c>
      <c r="B313" s="52" t="s">
        <v>1564</v>
      </c>
      <c r="C313" s="81">
        <f t="shared" si="227"/>
        <v>309</v>
      </c>
      <c r="D313" s="52" t="s">
        <v>1565</v>
      </c>
      <c r="E313" s="81">
        <f t="shared" ref="E313" si="276">E312+1</f>
        <v>309</v>
      </c>
      <c r="F313" s="52" t="s">
        <v>1331</v>
      </c>
      <c r="G313" s="52" t="s">
        <v>958</v>
      </c>
      <c r="H313" s="52" t="s">
        <v>27</v>
      </c>
      <c r="J313" s="52" t="s">
        <v>1566</v>
      </c>
      <c r="K313" s="54"/>
      <c r="L313" s="54"/>
      <c r="M313" s="55"/>
      <c r="N313" s="52" t="s">
        <v>958</v>
      </c>
    </row>
    <row r="314" spans="1:14" s="52" customFormat="1">
      <c r="A314" s="81">
        <f t="shared" si="227"/>
        <v>310</v>
      </c>
      <c r="B314" s="52" t="s">
        <v>1567</v>
      </c>
      <c r="C314" s="81">
        <f t="shared" si="227"/>
        <v>310</v>
      </c>
      <c r="D314" s="52" t="s">
        <v>1568</v>
      </c>
      <c r="E314" s="81">
        <f t="shared" ref="E314" si="277">E313+1</f>
        <v>310</v>
      </c>
      <c r="F314" s="52" t="s">
        <v>1331</v>
      </c>
      <c r="G314" s="52" t="s">
        <v>958</v>
      </c>
      <c r="H314" s="52" t="s">
        <v>27</v>
      </c>
      <c r="J314" s="52" t="s">
        <v>1569</v>
      </c>
      <c r="K314" s="54"/>
      <c r="L314" s="54"/>
      <c r="M314" s="55"/>
      <c r="N314" s="52" t="s">
        <v>958</v>
      </c>
    </row>
    <row r="315" spans="1:14" s="52" customFormat="1">
      <c r="A315" s="81">
        <f t="shared" si="227"/>
        <v>311</v>
      </c>
      <c r="B315" s="52" t="s">
        <v>1570</v>
      </c>
      <c r="C315" s="81">
        <f t="shared" si="227"/>
        <v>311</v>
      </c>
      <c r="D315" s="52" t="s">
        <v>1571</v>
      </c>
      <c r="E315" s="81">
        <f t="shared" ref="E315" si="278">E314+1</f>
        <v>311</v>
      </c>
      <c r="F315" s="52" t="s">
        <v>1331</v>
      </c>
      <c r="G315" s="52" t="s">
        <v>958</v>
      </c>
      <c r="H315" s="52" t="s">
        <v>27</v>
      </c>
      <c r="J315" s="52" t="s">
        <v>1572</v>
      </c>
      <c r="K315" s="54"/>
      <c r="L315" s="54"/>
      <c r="M315" s="55"/>
      <c r="N315" s="52" t="s">
        <v>958</v>
      </c>
    </row>
    <row r="316" spans="1:14" s="52" customFormat="1">
      <c r="A316" s="81">
        <f t="shared" si="227"/>
        <v>312</v>
      </c>
      <c r="B316" s="52" t="s">
        <v>1573</v>
      </c>
      <c r="C316" s="81">
        <f t="shared" si="227"/>
        <v>312</v>
      </c>
      <c r="D316" s="52" t="s">
        <v>1574</v>
      </c>
      <c r="E316" s="81">
        <f t="shared" ref="E316" si="279">E315+1</f>
        <v>312</v>
      </c>
      <c r="F316" s="52" t="s">
        <v>1347</v>
      </c>
      <c r="G316" s="52" t="s">
        <v>745</v>
      </c>
      <c r="H316" s="52" t="s">
        <v>27</v>
      </c>
      <c r="J316" s="52" t="s">
        <v>1575</v>
      </c>
      <c r="K316" s="54"/>
      <c r="L316" s="54"/>
      <c r="M316" s="55"/>
      <c r="N316" s="52" t="s">
        <v>747</v>
      </c>
    </row>
    <row r="317" spans="1:14" s="52" customFormat="1">
      <c r="A317" s="81">
        <f t="shared" si="227"/>
        <v>313</v>
      </c>
      <c r="B317" s="52" t="s">
        <v>1576</v>
      </c>
      <c r="C317" s="81">
        <f t="shared" si="227"/>
        <v>313</v>
      </c>
      <c r="D317" s="52" t="s">
        <v>1577</v>
      </c>
      <c r="E317" s="81">
        <f t="shared" ref="E317" si="280">E316+1</f>
        <v>313</v>
      </c>
      <c r="F317" s="52" t="s">
        <v>1347</v>
      </c>
      <c r="G317" s="52" t="s">
        <v>745</v>
      </c>
      <c r="H317" s="52" t="s">
        <v>27</v>
      </c>
      <c r="J317" s="52" t="s">
        <v>1578</v>
      </c>
      <c r="K317" s="54"/>
      <c r="L317" s="54"/>
      <c r="M317" s="55"/>
      <c r="N317" s="52" t="s">
        <v>747</v>
      </c>
    </row>
    <row r="318" spans="1:14" s="52" customFormat="1">
      <c r="A318" s="81">
        <f t="shared" si="227"/>
        <v>314</v>
      </c>
      <c r="B318" s="52" t="s">
        <v>1579</v>
      </c>
      <c r="C318" s="81">
        <f t="shared" si="227"/>
        <v>314</v>
      </c>
      <c r="D318" s="52" t="s">
        <v>1580</v>
      </c>
      <c r="E318" s="81">
        <f t="shared" ref="E318" si="281">E317+1</f>
        <v>314</v>
      </c>
      <c r="F318" s="52" t="s">
        <v>1347</v>
      </c>
      <c r="G318" s="52" t="s">
        <v>745</v>
      </c>
      <c r="H318" s="52" t="s">
        <v>27</v>
      </c>
      <c r="J318" s="52" t="s">
        <v>1581</v>
      </c>
      <c r="K318" s="54"/>
      <c r="L318" s="54"/>
      <c r="M318" s="55"/>
      <c r="N318" s="52" t="s">
        <v>747</v>
      </c>
    </row>
    <row r="319" spans="1:14" s="52" customFormat="1">
      <c r="A319" s="81">
        <f t="shared" si="227"/>
        <v>315</v>
      </c>
      <c r="B319" s="52" t="s">
        <v>1582</v>
      </c>
      <c r="C319" s="81">
        <f t="shared" si="227"/>
        <v>315</v>
      </c>
      <c r="D319" s="52" t="s">
        <v>1583</v>
      </c>
      <c r="E319" s="81">
        <f t="shared" ref="E319" si="282">E318+1</f>
        <v>315</v>
      </c>
      <c r="F319" s="52" t="s">
        <v>1347</v>
      </c>
      <c r="G319" s="52" t="s">
        <v>745</v>
      </c>
      <c r="H319" s="52" t="s">
        <v>27</v>
      </c>
      <c r="J319" s="52" t="s">
        <v>1584</v>
      </c>
      <c r="K319" s="54"/>
      <c r="L319" s="54"/>
      <c r="M319" s="55"/>
      <c r="N319" s="52" t="s">
        <v>747</v>
      </c>
    </row>
    <row r="320" spans="1:14" s="52" customFormat="1">
      <c r="A320" s="81">
        <f t="shared" si="227"/>
        <v>316</v>
      </c>
      <c r="B320" s="52" t="s">
        <v>1585</v>
      </c>
      <c r="C320" s="81">
        <f t="shared" si="227"/>
        <v>316</v>
      </c>
      <c r="D320" s="52" t="s">
        <v>1586</v>
      </c>
      <c r="E320" s="81">
        <f t="shared" ref="E320" si="283">E319+1</f>
        <v>316</v>
      </c>
      <c r="F320" s="52" t="s">
        <v>1347</v>
      </c>
      <c r="G320" s="52" t="s">
        <v>745</v>
      </c>
      <c r="H320" s="52" t="s">
        <v>27</v>
      </c>
      <c r="J320" s="52" t="s">
        <v>1587</v>
      </c>
      <c r="K320" s="54"/>
      <c r="L320" s="54"/>
      <c r="M320" s="55"/>
      <c r="N320" s="52" t="s">
        <v>747</v>
      </c>
    </row>
    <row r="321" spans="1:14" s="52" customFormat="1">
      <c r="A321" s="81">
        <f t="shared" si="227"/>
        <v>317</v>
      </c>
      <c r="B321" s="52" t="s">
        <v>1588</v>
      </c>
      <c r="C321" s="81">
        <f t="shared" si="227"/>
        <v>317</v>
      </c>
      <c r="D321" s="52" t="s">
        <v>1589</v>
      </c>
      <c r="E321" s="81">
        <f t="shared" ref="E321" si="284">E320+1</f>
        <v>317</v>
      </c>
      <c r="F321" s="52" t="s">
        <v>1363</v>
      </c>
      <c r="G321" s="52" t="s">
        <v>921</v>
      </c>
      <c r="H321" s="52" t="s">
        <v>27</v>
      </c>
      <c r="J321" s="52" t="s">
        <v>1590</v>
      </c>
      <c r="K321" s="54"/>
      <c r="L321" s="54"/>
      <c r="M321" s="55"/>
      <c r="N321" s="52" t="s">
        <v>923</v>
      </c>
    </row>
    <row r="322" spans="1:14" s="52" customFormat="1">
      <c r="A322" s="81">
        <f t="shared" si="227"/>
        <v>318</v>
      </c>
      <c r="B322" s="52" t="s">
        <v>1591</v>
      </c>
      <c r="C322" s="81">
        <f t="shared" si="227"/>
        <v>318</v>
      </c>
      <c r="D322" s="52" t="s">
        <v>1592</v>
      </c>
      <c r="E322" s="81">
        <f t="shared" ref="E322" si="285">E321+1</f>
        <v>318</v>
      </c>
      <c r="F322" s="52" t="s">
        <v>1363</v>
      </c>
      <c r="G322" s="52" t="s">
        <v>610</v>
      </c>
      <c r="H322" s="52" t="s">
        <v>27</v>
      </c>
      <c r="J322" s="52" t="s">
        <v>1593</v>
      </c>
      <c r="K322" s="54"/>
      <c r="L322" s="54"/>
      <c r="M322" s="55"/>
      <c r="N322" s="52" t="s">
        <v>923</v>
      </c>
    </row>
    <row r="323" spans="1:14" s="52" customFormat="1">
      <c r="A323" s="81">
        <f t="shared" si="227"/>
        <v>319</v>
      </c>
      <c r="B323" s="52" t="s">
        <v>1594</v>
      </c>
      <c r="C323" s="81">
        <f t="shared" si="227"/>
        <v>319</v>
      </c>
      <c r="D323" s="52" t="s">
        <v>1595</v>
      </c>
      <c r="E323" s="81">
        <f t="shared" ref="E323" si="286">E322+1</f>
        <v>319</v>
      </c>
      <c r="F323" s="52" t="s">
        <v>1363</v>
      </c>
      <c r="G323" s="52" t="s">
        <v>610</v>
      </c>
      <c r="H323" s="52" t="s">
        <v>27</v>
      </c>
      <c r="J323" s="52" t="s">
        <v>1596</v>
      </c>
      <c r="K323" s="54"/>
      <c r="L323" s="54"/>
      <c r="M323" s="55"/>
      <c r="N323" s="52" t="s">
        <v>923</v>
      </c>
    </row>
    <row r="324" spans="1:14" s="52" customFormat="1">
      <c r="A324" s="81">
        <f t="shared" si="227"/>
        <v>320</v>
      </c>
      <c r="B324" s="52" t="s">
        <v>1597</v>
      </c>
      <c r="C324" s="81">
        <f t="shared" si="227"/>
        <v>320</v>
      </c>
      <c r="D324" s="52" t="s">
        <v>1598</v>
      </c>
      <c r="E324" s="81">
        <f t="shared" ref="E324" si="287">E323+1</f>
        <v>320</v>
      </c>
      <c r="F324" s="52" t="s">
        <v>1363</v>
      </c>
      <c r="G324" s="52" t="s">
        <v>610</v>
      </c>
      <c r="H324" s="52" t="s">
        <v>27</v>
      </c>
      <c r="J324" s="52" t="s">
        <v>1599</v>
      </c>
      <c r="K324" s="54"/>
      <c r="L324" s="54"/>
      <c r="M324" s="55"/>
      <c r="N324" s="52" t="s">
        <v>923</v>
      </c>
    </row>
    <row r="325" spans="1:14" s="52" customFormat="1">
      <c r="A325" s="81">
        <f t="shared" si="227"/>
        <v>321</v>
      </c>
      <c r="B325" s="52" t="s">
        <v>1600</v>
      </c>
      <c r="C325" s="81">
        <f t="shared" si="227"/>
        <v>321</v>
      </c>
      <c r="D325" s="52" t="s">
        <v>1601</v>
      </c>
      <c r="E325" s="81">
        <f t="shared" ref="E325" si="288">E324+1</f>
        <v>321</v>
      </c>
      <c r="F325" s="52" t="s">
        <v>1363</v>
      </c>
      <c r="G325" s="52" t="s">
        <v>610</v>
      </c>
      <c r="H325" s="52" t="s">
        <v>27</v>
      </c>
      <c r="J325" s="52" t="s">
        <v>1602</v>
      </c>
      <c r="K325" s="54"/>
      <c r="L325" s="54"/>
      <c r="M325" s="55"/>
      <c r="N325" s="52" t="s">
        <v>923</v>
      </c>
    </row>
    <row r="326" spans="1:14" s="52" customFormat="1">
      <c r="A326" s="81">
        <f t="shared" si="227"/>
        <v>322</v>
      </c>
      <c r="B326" s="52" t="s">
        <v>1603</v>
      </c>
      <c r="C326" s="81">
        <f t="shared" si="227"/>
        <v>322</v>
      </c>
      <c r="D326" s="52" t="s">
        <v>1604</v>
      </c>
      <c r="E326" s="81">
        <f t="shared" ref="E326" si="289">E325+1</f>
        <v>322</v>
      </c>
      <c r="F326" s="52" t="s">
        <v>1363</v>
      </c>
      <c r="G326" s="52" t="s">
        <v>610</v>
      </c>
      <c r="H326" s="52" t="s">
        <v>27</v>
      </c>
      <c r="J326" s="52" t="s">
        <v>1605</v>
      </c>
      <c r="K326" s="54"/>
      <c r="L326" s="54"/>
      <c r="M326" s="55"/>
      <c r="N326" s="52" t="s">
        <v>923</v>
      </c>
    </row>
    <row r="327" spans="1:14" s="52" customFormat="1">
      <c r="A327" s="81">
        <f t="shared" si="227"/>
        <v>323</v>
      </c>
      <c r="B327" s="52" t="s">
        <v>1606</v>
      </c>
      <c r="C327" s="81">
        <f t="shared" si="227"/>
        <v>323</v>
      </c>
      <c r="D327" s="52" t="s">
        <v>1607</v>
      </c>
      <c r="E327" s="81">
        <f t="shared" ref="E327" si="290">E326+1</f>
        <v>323</v>
      </c>
      <c r="F327" s="52" t="s">
        <v>1363</v>
      </c>
      <c r="G327" s="52" t="s">
        <v>620</v>
      </c>
      <c r="H327" s="52" t="s">
        <v>27</v>
      </c>
      <c r="J327" s="52" t="s">
        <v>1608</v>
      </c>
      <c r="K327" s="54"/>
      <c r="L327" s="54"/>
      <c r="M327" s="55"/>
      <c r="N327" s="52" t="s">
        <v>923</v>
      </c>
    </row>
    <row r="328" spans="1:14" ht="52.5">
      <c r="A328" s="42">
        <v>324</v>
      </c>
      <c r="B328" s="42" t="s">
        <v>1609</v>
      </c>
      <c r="C328" s="42">
        <v>324</v>
      </c>
      <c r="D328" s="43" t="s">
        <v>1610</v>
      </c>
      <c r="E328" s="42">
        <v>324</v>
      </c>
      <c r="F328" s="74" t="s">
        <v>1611</v>
      </c>
      <c r="G328" s="42" t="s">
        <v>610</v>
      </c>
      <c r="H328" s="42" t="s">
        <v>27</v>
      </c>
      <c r="J328" s="73" t="s">
        <v>1612</v>
      </c>
      <c r="L328" s="43" t="s">
        <v>612</v>
      </c>
      <c r="N328" s="56" t="s">
        <v>614</v>
      </c>
    </row>
    <row r="329" spans="1:14" ht="52.5">
      <c r="A329" s="42">
        <v>325</v>
      </c>
      <c r="B329" s="42" t="s">
        <v>1613</v>
      </c>
      <c r="C329" s="42">
        <v>325</v>
      </c>
      <c r="D329" s="43" t="s">
        <v>1614</v>
      </c>
      <c r="E329" s="42">
        <v>325</v>
      </c>
      <c r="F329" s="74" t="s">
        <v>1615</v>
      </c>
      <c r="G329" s="42" t="s">
        <v>958</v>
      </c>
      <c r="H329" s="42" t="s">
        <v>27</v>
      </c>
      <c r="J329" s="42" t="s">
        <v>1616</v>
      </c>
      <c r="L329" s="43" t="s">
        <v>612</v>
      </c>
      <c r="N329" s="56" t="s">
        <v>958</v>
      </c>
    </row>
    <row r="330" spans="1:14" ht="52.5">
      <c r="A330" s="42">
        <v>326</v>
      </c>
      <c r="B330" s="42" t="s">
        <v>314</v>
      </c>
      <c r="C330" s="42">
        <v>326</v>
      </c>
      <c r="D330" s="43" t="s">
        <v>315</v>
      </c>
      <c r="E330" s="42">
        <v>326</v>
      </c>
      <c r="F330" s="74" t="s">
        <v>1617</v>
      </c>
      <c r="G330" s="43" t="s">
        <v>620</v>
      </c>
      <c r="H330" s="42" t="s">
        <v>27</v>
      </c>
      <c r="J330" s="42" t="s">
        <v>1618</v>
      </c>
      <c r="L330" s="43" t="s">
        <v>612</v>
      </c>
      <c r="N330" s="56" t="s">
        <v>623</v>
      </c>
    </row>
    <row r="331" spans="1:14" ht="52.5">
      <c r="A331" s="42">
        <v>327</v>
      </c>
      <c r="B331" s="42" t="s">
        <v>317</v>
      </c>
      <c r="C331" s="42">
        <v>327</v>
      </c>
      <c r="D331" s="43" t="s">
        <v>1619</v>
      </c>
      <c r="E331" s="42">
        <v>327</v>
      </c>
      <c r="F331" s="74" t="s">
        <v>1620</v>
      </c>
      <c r="G331" s="43" t="s">
        <v>620</v>
      </c>
      <c r="H331" s="42" t="s">
        <v>27</v>
      </c>
      <c r="J331" s="42" t="s">
        <v>1621</v>
      </c>
      <c r="L331" s="43" t="s">
        <v>612</v>
      </c>
      <c r="N331" s="56" t="s">
        <v>623</v>
      </c>
    </row>
    <row r="332" spans="1:14" ht="52.5">
      <c r="A332" s="42">
        <v>328</v>
      </c>
      <c r="B332" s="42" t="s">
        <v>1622</v>
      </c>
      <c r="C332" s="42">
        <v>328</v>
      </c>
      <c r="D332" s="43" t="s">
        <v>1623</v>
      </c>
      <c r="E332" s="42">
        <v>328</v>
      </c>
      <c r="F332" s="74" t="s">
        <v>1624</v>
      </c>
      <c r="G332" s="42" t="s">
        <v>704</v>
      </c>
      <c r="H332" s="42" t="s">
        <v>27</v>
      </c>
      <c r="J332" s="42" t="s">
        <v>1625</v>
      </c>
      <c r="L332" s="43" t="s">
        <v>612</v>
      </c>
      <c r="N332" s="56" t="s">
        <v>704</v>
      </c>
    </row>
    <row r="333" spans="1:14" ht="63">
      <c r="A333" s="42">
        <v>329</v>
      </c>
      <c r="B333" s="42" t="s">
        <v>1626</v>
      </c>
      <c r="C333" s="42">
        <v>329</v>
      </c>
      <c r="D333" s="43" t="s">
        <v>1627</v>
      </c>
      <c r="E333" s="42">
        <v>329</v>
      </c>
      <c r="F333" s="74" t="s">
        <v>1628</v>
      </c>
      <c r="G333" s="42" t="s">
        <v>704</v>
      </c>
      <c r="H333" s="42" t="s">
        <v>27</v>
      </c>
      <c r="J333" s="42" t="s">
        <v>1629</v>
      </c>
      <c r="N333" s="56" t="s">
        <v>704</v>
      </c>
    </row>
    <row r="334" spans="1:14" ht="42">
      <c r="A334" s="42">
        <v>330</v>
      </c>
      <c r="B334" s="42" t="s">
        <v>1630</v>
      </c>
      <c r="C334" s="42">
        <v>330</v>
      </c>
      <c r="D334" s="43" t="s">
        <v>1631</v>
      </c>
      <c r="E334" s="42">
        <v>330</v>
      </c>
      <c r="F334" s="74" t="s">
        <v>1363</v>
      </c>
      <c r="G334" s="42" t="s">
        <v>620</v>
      </c>
      <c r="H334" s="42" t="s">
        <v>27</v>
      </c>
      <c r="J334" s="42" t="s">
        <v>1632</v>
      </c>
      <c r="N334" s="56" t="s">
        <v>623</v>
      </c>
    </row>
    <row r="335" spans="1:14" ht="42">
      <c r="A335" s="42">
        <v>331</v>
      </c>
      <c r="B335" s="42" t="s">
        <v>1633</v>
      </c>
      <c r="C335" s="42">
        <v>331</v>
      </c>
      <c r="D335" s="43" t="s">
        <v>1634</v>
      </c>
      <c r="E335" s="42">
        <v>331</v>
      </c>
      <c r="F335" s="74" t="s">
        <v>1363</v>
      </c>
      <c r="G335" s="42" t="s">
        <v>620</v>
      </c>
      <c r="H335" s="42" t="s">
        <v>27</v>
      </c>
      <c r="J335" s="42" t="s">
        <v>1635</v>
      </c>
      <c r="N335" s="56" t="s">
        <v>623</v>
      </c>
    </row>
    <row r="336" spans="1:14" ht="42">
      <c r="A336" s="42">
        <v>332</v>
      </c>
      <c r="B336" s="42" t="s">
        <v>1636</v>
      </c>
      <c r="C336" s="42">
        <v>332</v>
      </c>
      <c r="D336" s="43" t="s">
        <v>1637</v>
      </c>
      <c r="E336" s="42">
        <v>332</v>
      </c>
      <c r="F336" s="74" t="s">
        <v>1363</v>
      </c>
      <c r="G336" s="42" t="s">
        <v>620</v>
      </c>
      <c r="H336" s="42" t="s">
        <v>27</v>
      </c>
      <c r="J336" s="42" t="s">
        <v>1638</v>
      </c>
      <c r="N336" s="56" t="s">
        <v>623</v>
      </c>
    </row>
    <row r="337" spans="1:14" ht="42">
      <c r="A337" s="42">
        <v>333</v>
      </c>
      <c r="B337" s="42" t="s">
        <v>1639</v>
      </c>
      <c r="C337" s="42">
        <v>333</v>
      </c>
      <c r="D337" s="43" t="s">
        <v>1640</v>
      </c>
      <c r="E337" s="42">
        <v>333</v>
      </c>
      <c r="F337" s="74" t="s">
        <v>1363</v>
      </c>
      <c r="G337" s="42" t="s">
        <v>620</v>
      </c>
      <c r="H337" s="42" t="s">
        <v>27</v>
      </c>
      <c r="J337" s="42" t="s">
        <v>1641</v>
      </c>
      <c r="N337" s="56" t="s">
        <v>623</v>
      </c>
    </row>
    <row r="338" spans="1:14" ht="42">
      <c r="A338" s="42">
        <v>334</v>
      </c>
      <c r="B338" s="42" t="s">
        <v>1642</v>
      </c>
      <c r="C338" s="42">
        <v>334</v>
      </c>
      <c r="D338" s="43" t="s">
        <v>1643</v>
      </c>
      <c r="E338" s="42">
        <v>334</v>
      </c>
      <c r="F338" s="74" t="s">
        <v>1363</v>
      </c>
      <c r="G338" s="42" t="s">
        <v>620</v>
      </c>
      <c r="H338" s="42" t="s">
        <v>27</v>
      </c>
      <c r="J338" s="42" t="s">
        <v>1644</v>
      </c>
      <c r="N338" s="56" t="s">
        <v>623</v>
      </c>
    </row>
    <row r="339" spans="1:14" ht="42">
      <c r="A339" s="42">
        <v>335</v>
      </c>
      <c r="B339" s="42" t="s">
        <v>1645</v>
      </c>
      <c r="C339" s="42">
        <v>335</v>
      </c>
      <c r="D339" s="43" t="s">
        <v>1646</v>
      </c>
      <c r="E339" s="42">
        <v>335</v>
      </c>
      <c r="F339" s="74" t="s">
        <v>1363</v>
      </c>
      <c r="G339" s="42" t="s">
        <v>620</v>
      </c>
      <c r="H339" s="42" t="s">
        <v>27</v>
      </c>
      <c r="J339" s="42" t="s">
        <v>1647</v>
      </c>
      <c r="N339" s="56" t="s">
        <v>623</v>
      </c>
    </row>
    <row r="340" spans="1:14" ht="42">
      <c r="A340" s="42">
        <v>336</v>
      </c>
      <c r="B340" s="42" t="s">
        <v>1648</v>
      </c>
      <c r="C340" s="42">
        <v>336</v>
      </c>
      <c r="D340" s="43" t="s">
        <v>1649</v>
      </c>
      <c r="E340" s="42">
        <v>336</v>
      </c>
      <c r="F340" s="74" t="s">
        <v>1363</v>
      </c>
      <c r="G340" s="42" t="s">
        <v>620</v>
      </c>
      <c r="H340" s="42" t="s">
        <v>27</v>
      </c>
      <c r="J340" s="42" t="s">
        <v>1650</v>
      </c>
      <c r="N340" s="56" t="s">
        <v>623</v>
      </c>
    </row>
    <row r="341" spans="1:14" ht="42">
      <c r="A341" s="42">
        <v>337</v>
      </c>
      <c r="B341" s="42" t="s">
        <v>1651</v>
      </c>
      <c r="C341" s="42">
        <v>337</v>
      </c>
      <c r="D341" s="43" t="s">
        <v>1652</v>
      </c>
      <c r="E341" s="42">
        <v>337</v>
      </c>
      <c r="F341" s="74" t="s">
        <v>1363</v>
      </c>
      <c r="G341" s="42" t="s">
        <v>620</v>
      </c>
      <c r="H341" s="42" t="s">
        <v>27</v>
      </c>
      <c r="J341" s="42" t="s">
        <v>1653</v>
      </c>
      <c r="N341" s="56" t="s">
        <v>623</v>
      </c>
    </row>
    <row r="342" spans="1:14" ht="42">
      <c r="A342" s="42">
        <v>338</v>
      </c>
      <c r="B342" s="42" t="s">
        <v>1654</v>
      </c>
      <c r="C342" s="42">
        <v>338</v>
      </c>
      <c r="D342" s="43" t="s">
        <v>1655</v>
      </c>
      <c r="E342" s="42">
        <v>338</v>
      </c>
      <c r="F342" s="74" t="s">
        <v>1363</v>
      </c>
      <c r="G342" s="42" t="s">
        <v>620</v>
      </c>
      <c r="H342" s="42" t="s">
        <v>27</v>
      </c>
      <c r="J342" s="42" t="s">
        <v>1656</v>
      </c>
      <c r="N342" s="56" t="s">
        <v>623</v>
      </c>
    </row>
    <row r="343" spans="1:14" ht="42">
      <c r="A343" s="42">
        <v>339</v>
      </c>
      <c r="B343" s="42" t="s">
        <v>1657</v>
      </c>
      <c r="C343" s="42">
        <v>339</v>
      </c>
      <c r="D343" s="43" t="s">
        <v>1658</v>
      </c>
      <c r="E343" s="42">
        <v>339</v>
      </c>
      <c r="F343" s="74" t="s">
        <v>1363</v>
      </c>
      <c r="G343" s="42" t="s">
        <v>620</v>
      </c>
      <c r="H343" s="42" t="s">
        <v>27</v>
      </c>
      <c r="J343" s="42" t="s">
        <v>1659</v>
      </c>
      <c r="N343" s="56" t="s">
        <v>623</v>
      </c>
    </row>
    <row r="344" spans="1:14" ht="42">
      <c r="A344" s="42">
        <v>340</v>
      </c>
      <c r="B344" s="42" t="s">
        <v>1660</v>
      </c>
      <c r="C344" s="42">
        <v>340</v>
      </c>
      <c r="D344" s="43" t="s">
        <v>1661</v>
      </c>
      <c r="E344" s="42">
        <v>340</v>
      </c>
      <c r="F344" s="74" t="s">
        <v>1363</v>
      </c>
      <c r="G344" s="42" t="s">
        <v>610</v>
      </c>
      <c r="H344" s="42" t="s">
        <v>27</v>
      </c>
      <c r="J344" s="42" t="s">
        <v>1662</v>
      </c>
      <c r="N344" s="56" t="s">
        <v>614</v>
      </c>
    </row>
    <row r="345" spans="1:14" ht="42">
      <c r="A345" s="42">
        <v>341</v>
      </c>
      <c r="B345" s="42" t="s">
        <v>1663</v>
      </c>
      <c r="C345" s="42">
        <v>341</v>
      </c>
      <c r="D345" s="43" t="s">
        <v>1664</v>
      </c>
      <c r="E345" s="42">
        <v>341</v>
      </c>
      <c r="F345" s="74" t="s">
        <v>1363</v>
      </c>
      <c r="G345" s="42" t="s">
        <v>610</v>
      </c>
      <c r="H345" s="42" t="s">
        <v>27</v>
      </c>
      <c r="J345" s="42" t="s">
        <v>1665</v>
      </c>
      <c r="N345" s="56" t="s">
        <v>614</v>
      </c>
    </row>
    <row r="346" spans="1:14" ht="42">
      <c r="A346" s="42">
        <v>342</v>
      </c>
      <c r="B346" s="42" t="s">
        <v>1666</v>
      </c>
      <c r="C346" s="42">
        <v>342</v>
      </c>
      <c r="D346" s="43" t="s">
        <v>1667</v>
      </c>
      <c r="E346" s="42">
        <v>342</v>
      </c>
      <c r="F346" s="74" t="s">
        <v>1363</v>
      </c>
      <c r="G346" s="42" t="s">
        <v>610</v>
      </c>
      <c r="H346" s="42" t="s">
        <v>27</v>
      </c>
      <c r="J346" s="42" t="s">
        <v>1668</v>
      </c>
      <c r="N346" s="56" t="s">
        <v>614</v>
      </c>
    </row>
    <row r="347" spans="1:14" ht="42">
      <c r="A347" s="42">
        <v>343</v>
      </c>
      <c r="B347" s="42" t="s">
        <v>1669</v>
      </c>
      <c r="C347" s="42">
        <v>343</v>
      </c>
      <c r="D347" s="43" t="s">
        <v>1670</v>
      </c>
      <c r="E347" s="42">
        <v>343</v>
      </c>
      <c r="F347" s="74" t="s">
        <v>1363</v>
      </c>
      <c r="G347" s="42" t="s">
        <v>610</v>
      </c>
      <c r="H347" s="42" t="s">
        <v>27</v>
      </c>
      <c r="J347" s="42" t="s">
        <v>1671</v>
      </c>
      <c r="N347" s="56" t="s">
        <v>614</v>
      </c>
    </row>
    <row r="348" spans="1:14" ht="42">
      <c r="A348" s="42">
        <v>344</v>
      </c>
      <c r="B348" s="42" t="s">
        <v>1672</v>
      </c>
      <c r="C348" s="42">
        <v>344</v>
      </c>
      <c r="D348" s="43" t="s">
        <v>1673</v>
      </c>
      <c r="E348" s="42">
        <v>344</v>
      </c>
      <c r="F348" s="74" t="s">
        <v>1363</v>
      </c>
      <c r="G348" s="42" t="s">
        <v>610</v>
      </c>
      <c r="H348" s="42" t="s">
        <v>27</v>
      </c>
      <c r="J348" s="42" t="s">
        <v>1674</v>
      </c>
      <c r="N348" s="56" t="s">
        <v>614</v>
      </c>
    </row>
    <row r="349" spans="1:14" ht="42">
      <c r="A349" s="42">
        <v>345</v>
      </c>
      <c r="B349" s="42" t="s">
        <v>1675</v>
      </c>
      <c r="C349" s="42">
        <v>345</v>
      </c>
      <c r="D349" s="43" t="s">
        <v>1676</v>
      </c>
      <c r="E349" s="42">
        <v>345</v>
      </c>
      <c r="F349" s="74" t="s">
        <v>1363</v>
      </c>
      <c r="G349" s="42" t="s">
        <v>610</v>
      </c>
      <c r="H349" s="42" t="s">
        <v>27</v>
      </c>
      <c r="J349" s="42" t="s">
        <v>1677</v>
      </c>
      <c r="N349" s="56" t="s">
        <v>614</v>
      </c>
    </row>
    <row r="350" spans="1:14" ht="42">
      <c r="A350" s="42">
        <v>346</v>
      </c>
      <c r="B350" s="42" t="s">
        <v>1678</v>
      </c>
      <c r="C350" s="42">
        <v>346</v>
      </c>
      <c r="D350" s="43" t="s">
        <v>1679</v>
      </c>
      <c r="E350" s="42">
        <v>346</v>
      </c>
      <c r="F350" s="74" t="s">
        <v>1363</v>
      </c>
      <c r="G350" s="42" t="s">
        <v>610</v>
      </c>
      <c r="H350" s="42" t="s">
        <v>27</v>
      </c>
      <c r="J350" s="42" t="s">
        <v>1680</v>
      </c>
      <c r="N350" s="56" t="s">
        <v>614</v>
      </c>
    </row>
    <row r="351" spans="1:14" ht="42">
      <c r="A351" s="42">
        <v>347</v>
      </c>
      <c r="B351" s="42" t="s">
        <v>1681</v>
      </c>
      <c r="C351" s="42">
        <v>347</v>
      </c>
      <c r="D351" s="43" t="s">
        <v>1682</v>
      </c>
      <c r="E351" s="42">
        <v>347</v>
      </c>
      <c r="F351" s="74" t="s">
        <v>1363</v>
      </c>
      <c r="G351" s="42" t="s">
        <v>610</v>
      </c>
      <c r="H351" s="42" t="s">
        <v>27</v>
      </c>
      <c r="J351" s="42" t="s">
        <v>1683</v>
      </c>
      <c r="N351" s="56" t="s">
        <v>614</v>
      </c>
    </row>
    <row r="352" spans="1:14" ht="42">
      <c r="A352" s="42">
        <v>348</v>
      </c>
      <c r="B352" s="42" t="s">
        <v>1684</v>
      </c>
      <c r="C352" s="42">
        <v>348</v>
      </c>
      <c r="D352" s="43" t="s">
        <v>1685</v>
      </c>
      <c r="E352" s="42">
        <v>348</v>
      </c>
      <c r="F352" s="74" t="s">
        <v>1363</v>
      </c>
      <c r="G352" s="42" t="s">
        <v>610</v>
      </c>
      <c r="H352" s="42" t="s">
        <v>27</v>
      </c>
      <c r="J352" s="42" t="s">
        <v>1686</v>
      </c>
      <c r="N352" s="56" t="s">
        <v>614</v>
      </c>
    </row>
    <row r="353" spans="1:14" ht="42">
      <c r="A353" s="42">
        <v>349</v>
      </c>
      <c r="B353" s="42" t="s">
        <v>1687</v>
      </c>
      <c r="C353" s="42">
        <v>349</v>
      </c>
      <c r="D353" s="43" t="s">
        <v>1688</v>
      </c>
      <c r="E353" s="42">
        <v>349</v>
      </c>
      <c r="F353" s="74" t="s">
        <v>1363</v>
      </c>
      <c r="G353" s="42" t="s">
        <v>610</v>
      </c>
      <c r="H353" s="42" t="s">
        <v>27</v>
      </c>
      <c r="J353" s="42" t="s">
        <v>1689</v>
      </c>
      <c r="N353" s="56" t="s">
        <v>614</v>
      </c>
    </row>
    <row r="354" spans="1:14" ht="42">
      <c r="A354" s="42">
        <v>350</v>
      </c>
      <c r="B354" s="42" t="s">
        <v>1690</v>
      </c>
      <c r="C354" s="42">
        <v>350</v>
      </c>
      <c r="D354" s="43" t="s">
        <v>1691</v>
      </c>
      <c r="E354" s="42">
        <v>350</v>
      </c>
      <c r="F354" s="74" t="s">
        <v>1347</v>
      </c>
      <c r="G354" s="42" t="s">
        <v>745</v>
      </c>
      <c r="H354" s="42" t="s">
        <v>27</v>
      </c>
      <c r="J354" s="42" t="s">
        <v>1692</v>
      </c>
      <c r="N354" s="56" t="s">
        <v>747</v>
      </c>
    </row>
    <row r="355" spans="1:14" ht="42">
      <c r="A355" s="42">
        <v>351</v>
      </c>
      <c r="B355" s="42" t="s">
        <v>1693</v>
      </c>
      <c r="C355" s="42">
        <v>351</v>
      </c>
      <c r="D355" s="43" t="s">
        <v>1694</v>
      </c>
      <c r="E355" s="42">
        <v>351</v>
      </c>
      <c r="F355" s="74" t="s">
        <v>1347</v>
      </c>
      <c r="G355" s="42" t="s">
        <v>745</v>
      </c>
      <c r="H355" s="42" t="s">
        <v>27</v>
      </c>
      <c r="J355" s="42" t="s">
        <v>1695</v>
      </c>
      <c r="N355" s="56" t="s">
        <v>747</v>
      </c>
    </row>
    <row r="356" spans="1:14" ht="42">
      <c r="A356" s="42">
        <v>352</v>
      </c>
      <c r="B356" s="42" t="s">
        <v>1696</v>
      </c>
      <c r="C356" s="42">
        <v>352</v>
      </c>
      <c r="D356" s="43" t="s">
        <v>1697</v>
      </c>
      <c r="E356" s="42">
        <v>352</v>
      </c>
      <c r="F356" s="74" t="s">
        <v>1347</v>
      </c>
      <c r="G356" s="42" t="s">
        <v>745</v>
      </c>
      <c r="H356" s="42" t="s">
        <v>27</v>
      </c>
      <c r="J356" s="42" t="s">
        <v>1698</v>
      </c>
      <c r="N356" s="56" t="s">
        <v>747</v>
      </c>
    </row>
    <row r="357" spans="1:14" ht="42">
      <c r="A357" s="42">
        <v>353</v>
      </c>
      <c r="B357" s="42" t="s">
        <v>1699</v>
      </c>
      <c r="C357" s="42">
        <v>353</v>
      </c>
      <c r="D357" s="43" t="s">
        <v>1700</v>
      </c>
      <c r="E357" s="42">
        <v>353</v>
      </c>
      <c r="F357" s="74" t="s">
        <v>1347</v>
      </c>
      <c r="G357" s="42" t="s">
        <v>745</v>
      </c>
      <c r="H357" s="42" t="s">
        <v>27</v>
      </c>
      <c r="J357" s="42" t="s">
        <v>1701</v>
      </c>
      <c r="N357" s="56" t="s">
        <v>747</v>
      </c>
    </row>
    <row r="358" spans="1:14" ht="42">
      <c r="A358" s="42">
        <v>354</v>
      </c>
      <c r="B358" s="42" t="s">
        <v>1702</v>
      </c>
      <c r="C358" s="42">
        <v>354</v>
      </c>
      <c r="D358" s="43" t="s">
        <v>1703</v>
      </c>
      <c r="E358" s="42">
        <v>354</v>
      </c>
      <c r="F358" s="74" t="s">
        <v>1347</v>
      </c>
      <c r="G358" s="42" t="s">
        <v>745</v>
      </c>
      <c r="H358" s="42" t="s">
        <v>27</v>
      </c>
      <c r="J358" s="42" t="s">
        <v>1704</v>
      </c>
      <c r="N358" s="56" t="s">
        <v>747</v>
      </c>
    </row>
    <row r="359" spans="1:14" ht="42">
      <c r="A359" s="42">
        <v>355</v>
      </c>
      <c r="B359" s="42" t="s">
        <v>1705</v>
      </c>
      <c r="C359" s="42">
        <v>355</v>
      </c>
      <c r="D359" s="43" t="s">
        <v>1706</v>
      </c>
      <c r="E359" s="42">
        <v>355</v>
      </c>
      <c r="F359" s="74" t="s">
        <v>1347</v>
      </c>
      <c r="G359" s="42" t="s">
        <v>745</v>
      </c>
      <c r="H359" s="42" t="s">
        <v>27</v>
      </c>
      <c r="J359" s="42" t="s">
        <v>1707</v>
      </c>
      <c r="N359" s="56" t="s">
        <v>747</v>
      </c>
    </row>
    <row r="360" spans="1:14" ht="42">
      <c r="A360" s="42">
        <v>356</v>
      </c>
      <c r="B360" s="42" t="s">
        <v>1708</v>
      </c>
      <c r="C360" s="42">
        <v>356</v>
      </c>
      <c r="D360" s="43" t="s">
        <v>1709</v>
      </c>
      <c r="E360" s="42">
        <v>356</v>
      </c>
      <c r="F360" s="74" t="s">
        <v>1347</v>
      </c>
      <c r="G360" s="42" t="s">
        <v>745</v>
      </c>
      <c r="H360" s="42" t="s">
        <v>27</v>
      </c>
      <c r="J360" s="42" t="s">
        <v>1710</v>
      </c>
      <c r="N360" s="56" t="s">
        <v>747</v>
      </c>
    </row>
    <row r="361" spans="1:14" ht="42">
      <c r="A361" s="42">
        <v>357</v>
      </c>
      <c r="B361" s="42" t="s">
        <v>1711</v>
      </c>
      <c r="C361" s="42">
        <v>357</v>
      </c>
      <c r="D361" s="43" t="s">
        <v>1712</v>
      </c>
      <c r="E361" s="42">
        <v>357</v>
      </c>
      <c r="F361" s="74" t="s">
        <v>1347</v>
      </c>
      <c r="G361" s="42" t="s">
        <v>745</v>
      </c>
      <c r="H361" s="42" t="s">
        <v>27</v>
      </c>
      <c r="J361" s="42" t="s">
        <v>1713</v>
      </c>
      <c r="N361" s="56" t="s">
        <v>747</v>
      </c>
    </row>
    <row r="362" spans="1:14" ht="42">
      <c r="A362" s="42">
        <v>358</v>
      </c>
      <c r="B362" s="42" t="s">
        <v>1714</v>
      </c>
      <c r="C362" s="42">
        <v>358</v>
      </c>
      <c r="D362" s="43" t="s">
        <v>1715</v>
      </c>
      <c r="E362" s="42">
        <v>358</v>
      </c>
      <c r="F362" s="74" t="s">
        <v>1347</v>
      </c>
      <c r="G362" s="42" t="s">
        <v>745</v>
      </c>
      <c r="H362" s="42" t="s">
        <v>27</v>
      </c>
      <c r="J362" s="42" t="s">
        <v>1716</v>
      </c>
      <c r="N362" s="56" t="s">
        <v>747</v>
      </c>
    </row>
    <row r="363" spans="1:14" ht="42">
      <c r="A363" s="42">
        <v>359</v>
      </c>
      <c r="B363" s="42" t="s">
        <v>1717</v>
      </c>
      <c r="C363" s="42">
        <v>359</v>
      </c>
      <c r="D363" s="43" t="s">
        <v>1718</v>
      </c>
      <c r="E363" s="42">
        <v>359</v>
      </c>
      <c r="F363" s="74" t="s">
        <v>1347</v>
      </c>
      <c r="G363" s="42" t="s">
        <v>745</v>
      </c>
      <c r="H363" s="42" t="s">
        <v>27</v>
      </c>
      <c r="J363" s="42" t="s">
        <v>1719</v>
      </c>
      <c r="N363" s="56" t="s">
        <v>747</v>
      </c>
    </row>
    <row r="364" spans="1:14" ht="42">
      <c r="A364" s="42">
        <v>360</v>
      </c>
      <c r="B364" s="42" t="s">
        <v>1720</v>
      </c>
      <c r="C364" s="42">
        <v>360</v>
      </c>
      <c r="D364" s="43" t="s">
        <v>1721</v>
      </c>
      <c r="E364" s="42">
        <v>360</v>
      </c>
      <c r="F364" s="74" t="s">
        <v>1331</v>
      </c>
      <c r="G364" s="42" t="s">
        <v>958</v>
      </c>
      <c r="H364" s="42" t="s">
        <v>27</v>
      </c>
      <c r="J364" s="42" t="s">
        <v>1722</v>
      </c>
      <c r="N364" s="56" t="s">
        <v>958</v>
      </c>
    </row>
    <row r="365" spans="1:14" ht="42">
      <c r="A365" s="42">
        <v>361</v>
      </c>
      <c r="B365" s="42" t="s">
        <v>1723</v>
      </c>
      <c r="C365" s="42">
        <v>361</v>
      </c>
      <c r="D365" s="43" t="s">
        <v>1724</v>
      </c>
      <c r="E365" s="42">
        <v>361</v>
      </c>
      <c r="F365" s="74" t="s">
        <v>1331</v>
      </c>
      <c r="G365" s="42" t="s">
        <v>958</v>
      </c>
      <c r="H365" s="42" t="s">
        <v>27</v>
      </c>
      <c r="J365" s="42" t="s">
        <v>1725</v>
      </c>
      <c r="N365" s="56" t="s">
        <v>958</v>
      </c>
    </row>
    <row r="366" spans="1:14" ht="42">
      <c r="A366" s="42">
        <v>362</v>
      </c>
      <c r="B366" s="42" t="s">
        <v>1726</v>
      </c>
      <c r="C366" s="42">
        <v>362</v>
      </c>
      <c r="D366" s="43" t="s">
        <v>1727</v>
      </c>
      <c r="E366" s="42">
        <v>362</v>
      </c>
      <c r="F366" s="74" t="s">
        <v>1331</v>
      </c>
      <c r="G366" s="42" t="s">
        <v>958</v>
      </c>
      <c r="H366" s="42" t="s">
        <v>27</v>
      </c>
      <c r="J366" s="42" t="s">
        <v>1728</v>
      </c>
      <c r="N366" s="56" t="s">
        <v>958</v>
      </c>
    </row>
    <row r="367" spans="1:14" ht="42">
      <c r="A367" s="42">
        <v>363</v>
      </c>
      <c r="B367" s="42" t="s">
        <v>1729</v>
      </c>
      <c r="C367" s="42">
        <v>363</v>
      </c>
      <c r="D367" s="43" t="s">
        <v>1730</v>
      </c>
      <c r="E367" s="42">
        <v>363</v>
      </c>
      <c r="F367" s="74" t="s">
        <v>1331</v>
      </c>
      <c r="G367" s="42" t="s">
        <v>958</v>
      </c>
      <c r="H367" s="42" t="s">
        <v>27</v>
      </c>
      <c r="J367" s="42" t="s">
        <v>1731</v>
      </c>
      <c r="N367" s="56" t="s">
        <v>958</v>
      </c>
    </row>
    <row r="368" spans="1:14" ht="42">
      <c r="A368" s="42">
        <v>364</v>
      </c>
      <c r="B368" s="42" t="s">
        <v>1732</v>
      </c>
      <c r="C368" s="42">
        <v>364</v>
      </c>
      <c r="D368" s="43" t="s">
        <v>1733</v>
      </c>
      <c r="E368" s="42">
        <v>364</v>
      </c>
      <c r="F368" s="74" t="s">
        <v>1331</v>
      </c>
      <c r="G368" s="42" t="s">
        <v>958</v>
      </c>
      <c r="H368" s="42" t="s">
        <v>27</v>
      </c>
      <c r="J368" s="42" t="s">
        <v>1734</v>
      </c>
      <c r="N368" s="56" t="s">
        <v>958</v>
      </c>
    </row>
    <row r="369" spans="1:14" ht="42">
      <c r="A369" s="42">
        <v>365</v>
      </c>
      <c r="B369" s="42" t="s">
        <v>1735</v>
      </c>
      <c r="C369" s="42">
        <v>365</v>
      </c>
      <c r="D369" s="43" t="s">
        <v>1736</v>
      </c>
      <c r="E369" s="42">
        <v>365</v>
      </c>
      <c r="F369" s="74" t="s">
        <v>1331</v>
      </c>
      <c r="G369" s="42" t="s">
        <v>958</v>
      </c>
      <c r="H369" s="42" t="s">
        <v>27</v>
      </c>
      <c r="J369" s="42" t="s">
        <v>1737</v>
      </c>
      <c r="N369" s="56" t="s">
        <v>958</v>
      </c>
    </row>
    <row r="370" spans="1:14" ht="42">
      <c r="A370" s="42">
        <v>366</v>
      </c>
      <c r="B370" s="42" t="s">
        <v>1738</v>
      </c>
      <c r="C370" s="42">
        <v>366</v>
      </c>
      <c r="D370" s="43" t="s">
        <v>1739</v>
      </c>
      <c r="E370" s="42">
        <v>366</v>
      </c>
      <c r="F370" s="74" t="s">
        <v>1331</v>
      </c>
      <c r="G370" s="42" t="s">
        <v>958</v>
      </c>
      <c r="H370" s="42" t="s">
        <v>27</v>
      </c>
      <c r="J370" s="42" t="s">
        <v>1740</v>
      </c>
      <c r="N370" s="56" t="s">
        <v>958</v>
      </c>
    </row>
    <row r="371" spans="1:14" ht="42">
      <c r="A371" s="42">
        <v>367</v>
      </c>
      <c r="B371" s="42" t="s">
        <v>1741</v>
      </c>
      <c r="C371" s="42">
        <v>367</v>
      </c>
      <c r="D371" s="43" t="s">
        <v>1742</v>
      </c>
      <c r="E371" s="42">
        <v>367</v>
      </c>
      <c r="F371" s="74" t="s">
        <v>1331</v>
      </c>
      <c r="G371" s="42" t="s">
        <v>958</v>
      </c>
      <c r="H371" s="42" t="s">
        <v>27</v>
      </c>
      <c r="J371" s="42" t="s">
        <v>1743</v>
      </c>
      <c r="N371" s="56" t="s">
        <v>958</v>
      </c>
    </row>
    <row r="372" spans="1:14" ht="42">
      <c r="A372" s="42">
        <v>368</v>
      </c>
      <c r="B372" s="42" t="s">
        <v>1744</v>
      </c>
      <c r="C372" s="42">
        <v>368</v>
      </c>
      <c r="D372" s="43" t="s">
        <v>1745</v>
      </c>
      <c r="E372" s="42">
        <v>368</v>
      </c>
      <c r="F372" s="74" t="s">
        <v>1331</v>
      </c>
      <c r="G372" s="42" t="s">
        <v>958</v>
      </c>
      <c r="H372" s="42" t="s">
        <v>27</v>
      </c>
      <c r="J372" s="42" t="s">
        <v>1746</v>
      </c>
      <c r="N372" s="56" t="s">
        <v>958</v>
      </c>
    </row>
    <row r="373" spans="1:14" ht="42">
      <c r="A373" s="42">
        <v>369</v>
      </c>
      <c r="B373" s="42" t="s">
        <v>1747</v>
      </c>
      <c r="C373" s="42">
        <v>369</v>
      </c>
      <c r="D373" s="43" t="s">
        <v>1748</v>
      </c>
      <c r="E373" s="42">
        <v>369</v>
      </c>
      <c r="F373" s="74" t="s">
        <v>1331</v>
      </c>
      <c r="G373" s="42" t="s">
        <v>958</v>
      </c>
      <c r="H373" s="42" t="s">
        <v>27</v>
      </c>
      <c r="J373" s="42" t="s">
        <v>1749</v>
      </c>
      <c r="N373" s="56" t="s">
        <v>958</v>
      </c>
    </row>
    <row r="374" spans="1:14" ht="42">
      <c r="A374" s="42">
        <v>370</v>
      </c>
      <c r="B374" s="42" t="s">
        <v>1750</v>
      </c>
      <c r="C374" s="42">
        <v>370</v>
      </c>
      <c r="D374" s="43" t="s">
        <v>1751</v>
      </c>
      <c r="E374" s="42">
        <v>370</v>
      </c>
      <c r="F374" s="74" t="s">
        <v>1529</v>
      </c>
      <c r="G374" s="42" t="s">
        <v>704</v>
      </c>
      <c r="H374" s="42" t="s">
        <v>27</v>
      </c>
      <c r="J374" s="42" t="s">
        <v>1752</v>
      </c>
      <c r="N374" s="42" t="s">
        <v>704</v>
      </c>
    </row>
    <row r="375" spans="1:14" ht="42">
      <c r="A375" s="42">
        <v>371</v>
      </c>
      <c r="B375" s="42" t="s">
        <v>1753</v>
      </c>
      <c r="C375" s="42">
        <v>371</v>
      </c>
      <c r="D375" s="43" t="s">
        <v>1754</v>
      </c>
      <c r="E375" s="42">
        <v>371</v>
      </c>
      <c r="F375" s="74" t="s">
        <v>1529</v>
      </c>
      <c r="G375" s="42" t="s">
        <v>704</v>
      </c>
      <c r="H375" s="42" t="s">
        <v>27</v>
      </c>
      <c r="J375" s="42" t="s">
        <v>1755</v>
      </c>
      <c r="N375" s="42" t="s">
        <v>704</v>
      </c>
    </row>
    <row r="376" spans="1:14" ht="42">
      <c r="A376" s="42">
        <v>372</v>
      </c>
      <c r="B376" s="42" t="s">
        <v>1756</v>
      </c>
      <c r="C376" s="42">
        <v>372</v>
      </c>
      <c r="D376" s="43" t="s">
        <v>1757</v>
      </c>
      <c r="E376" s="42">
        <v>372</v>
      </c>
      <c r="F376" s="74" t="s">
        <v>1529</v>
      </c>
      <c r="G376" s="42" t="s">
        <v>704</v>
      </c>
      <c r="H376" s="42" t="s">
        <v>27</v>
      </c>
      <c r="J376" s="42" t="s">
        <v>1758</v>
      </c>
      <c r="N376" s="42" t="s">
        <v>704</v>
      </c>
    </row>
    <row r="377" spans="1:14" ht="42">
      <c r="A377" s="42">
        <v>373</v>
      </c>
      <c r="B377" s="42" t="s">
        <v>1759</v>
      </c>
      <c r="C377" s="42">
        <v>373</v>
      </c>
      <c r="D377" s="43" t="s">
        <v>1760</v>
      </c>
      <c r="E377" s="42">
        <v>373</v>
      </c>
      <c r="F377" s="74" t="s">
        <v>1529</v>
      </c>
      <c r="G377" s="42" t="s">
        <v>704</v>
      </c>
      <c r="H377" s="42" t="s">
        <v>27</v>
      </c>
      <c r="J377" s="42" t="s">
        <v>1761</v>
      </c>
      <c r="N377" s="42" t="s">
        <v>704</v>
      </c>
    </row>
    <row r="378" spans="1:14" ht="42">
      <c r="A378" s="42">
        <v>374</v>
      </c>
      <c r="B378" s="42" t="s">
        <v>1762</v>
      </c>
      <c r="C378" s="42">
        <v>374</v>
      </c>
      <c r="D378" s="43" t="s">
        <v>1763</v>
      </c>
      <c r="E378" s="42">
        <v>374</v>
      </c>
      <c r="F378" s="74" t="s">
        <v>1529</v>
      </c>
      <c r="G378" s="42" t="s">
        <v>704</v>
      </c>
      <c r="H378" s="42" t="s">
        <v>27</v>
      </c>
      <c r="J378" s="42" t="s">
        <v>1764</v>
      </c>
      <c r="N378" s="42" t="s">
        <v>704</v>
      </c>
    </row>
    <row r="379" spans="1:14" ht="42">
      <c r="A379" s="42">
        <v>375</v>
      </c>
      <c r="B379" s="42" t="s">
        <v>1765</v>
      </c>
      <c r="C379" s="42">
        <v>375</v>
      </c>
      <c r="D379" s="43" t="s">
        <v>1766</v>
      </c>
      <c r="E379" s="42">
        <v>375</v>
      </c>
      <c r="F379" s="74" t="s">
        <v>1529</v>
      </c>
      <c r="G379" s="42" t="s">
        <v>704</v>
      </c>
      <c r="H379" s="42" t="s">
        <v>27</v>
      </c>
      <c r="J379" s="42" t="s">
        <v>1767</v>
      </c>
      <c r="N379" s="42" t="s">
        <v>704</v>
      </c>
    </row>
    <row r="380" spans="1:14" ht="42">
      <c r="A380" s="42">
        <v>376</v>
      </c>
      <c r="B380" s="42" t="s">
        <v>1768</v>
      </c>
      <c r="C380" s="42">
        <v>376</v>
      </c>
      <c r="D380" s="43" t="s">
        <v>1769</v>
      </c>
      <c r="E380" s="42">
        <v>376</v>
      </c>
      <c r="F380" s="74" t="s">
        <v>1529</v>
      </c>
      <c r="G380" s="42" t="s">
        <v>704</v>
      </c>
      <c r="H380" s="42" t="s">
        <v>27</v>
      </c>
      <c r="J380" s="42" t="s">
        <v>1770</v>
      </c>
      <c r="N380" s="42" t="s">
        <v>704</v>
      </c>
    </row>
    <row r="381" spans="1:14" ht="42">
      <c r="A381" s="42">
        <v>377</v>
      </c>
      <c r="B381" s="42" t="s">
        <v>1771</v>
      </c>
      <c r="C381" s="42">
        <v>377</v>
      </c>
      <c r="D381" s="43" t="s">
        <v>1772</v>
      </c>
      <c r="E381" s="42">
        <v>377</v>
      </c>
      <c r="F381" s="74" t="s">
        <v>1529</v>
      </c>
      <c r="G381" s="42" t="s">
        <v>704</v>
      </c>
      <c r="H381" s="42" t="s">
        <v>27</v>
      </c>
      <c r="J381" s="42" t="s">
        <v>1773</v>
      </c>
      <c r="N381" s="42" t="s">
        <v>704</v>
      </c>
    </row>
    <row r="382" spans="1:14" ht="42">
      <c r="A382" s="42">
        <v>378</v>
      </c>
      <c r="B382" s="42" t="s">
        <v>1774</v>
      </c>
      <c r="C382" s="42">
        <v>378</v>
      </c>
      <c r="D382" s="43" t="s">
        <v>1775</v>
      </c>
      <c r="E382" s="42">
        <v>378</v>
      </c>
      <c r="F382" s="74" t="s">
        <v>1529</v>
      </c>
      <c r="G382" s="42" t="s">
        <v>704</v>
      </c>
      <c r="H382" s="42" t="s">
        <v>27</v>
      </c>
      <c r="J382" s="42" t="s">
        <v>1776</v>
      </c>
      <c r="N382" s="42" t="s">
        <v>704</v>
      </c>
    </row>
    <row r="383" spans="1:14" ht="42">
      <c r="A383" s="42">
        <v>379</v>
      </c>
      <c r="B383" s="42" t="s">
        <v>1777</v>
      </c>
      <c r="C383" s="42">
        <v>379</v>
      </c>
      <c r="D383" s="43" t="s">
        <v>1778</v>
      </c>
      <c r="E383" s="42">
        <v>379</v>
      </c>
      <c r="F383" s="74" t="s">
        <v>1529</v>
      </c>
      <c r="G383" s="42" t="s">
        <v>704</v>
      </c>
      <c r="H383" s="42" t="s">
        <v>27</v>
      </c>
      <c r="J383" s="42" t="s">
        <v>1779</v>
      </c>
      <c r="N383" s="42" t="s">
        <v>704</v>
      </c>
    </row>
  </sheetData>
  <autoFilter ref="A3:N383" xr:uid="{E7FF28F4-B9B4-4C82-8DC8-4958792C2398}"/>
  <mergeCells count="1">
    <mergeCell ref="A1:G1"/>
  </mergeCells>
  <printOptions horizontalCentered="1" gridLines="1"/>
  <pageMargins left="0.25" right="0.25" top="0.75" bottom="0.75" header="0.3" footer="0.3"/>
  <pageSetup scale="49" fitToHeight="4" orientation="landscape" r:id="rId1"/>
  <headerFooter alignWithMargins="0">
    <oddHeader>&amp;L&amp;F&amp;RSpec: &amp;A</oddHeader>
    <oddFooter>&amp;L&amp;BE2open Confidential&amp;B&amp;C&amp;D&amp;RPage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01F18C-57C1-4813-B332-5F7F17EA932C}"/>
</file>

<file path=customXml/itemProps2.xml><?xml version="1.0" encoding="utf-8"?>
<ds:datastoreItem xmlns:ds="http://schemas.openxmlformats.org/officeDocument/2006/customXml" ds:itemID="{024C5407-9992-41C6-80F6-5DA4B0E429B0}"/>
</file>

<file path=customXml/itemProps3.xml><?xml version="1.0" encoding="utf-8"?>
<ds:datastoreItem xmlns:ds="http://schemas.openxmlformats.org/officeDocument/2006/customXml" ds:itemID="{9D1228AB-208C-4057-80DC-D408CA626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2026-02-11T07:16:09Z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  <property fmtid="{D5CDD505-2E9C-101B-9397-08002B2CF9AE}" pid="5" name="Order">
    <vt:r8>531100</vt:r8>
  </property>
</Properties>
</file>